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 SANJEEV PILLI\Desktop\FILES\GITAM T1\FRA\"/>
    </mc:Choice>
  </mc:AlternateContent>
  <xr:revisionPtr revIDLastSave="0" documentId="13_ncr:1_{FB76F67A-4D1C-48B5-8413-8CCC0CF433BC}" xr6:coauthVersionLast="47" xr6:coauthVersionMax="47" xr10:uidLastSave="{00000000-0000-0000-0000-000000000000}"/>
  <bookViews>
    <workbookView xWindow="-108" yWindow="-108" windowWidth="23256" windowHeight="12456" firstSheet="1" activeTab="1" xr2:uid="{A00E7B80-0133-474F-9275-C142FBF0FAF8}"/>
  </bookViews>
  <sheets>
    <sheet name="Income Statement" sheetId="1" r:id="rId1"/>
    <sheet name="Balance Sheet" sheetId="2" r:id="rId2"/>
    <sheet name="Hortizontal Analysis" sheetId="4" r:id="rId3"/>
    <sheet name="Vertical Analysis" sheetId="5" r:id="rId4"/>
    <sheet name="Trend Analysis" sheetId="6" r:id="rId5"/>
    <sheet name="Ratio Analysis" sheetId="7" r:id="rId6"/>
    <sheet name="Du-pont Analysis" sheetId="8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8" l="1"/>
  <c r="D8" i="8"/>
  <c r="E8" i="8"/>
  <c r="F8" i="8"/>
  <c r="G8" i="8"/>
  <c r="H8" i="8"/>
  <c r="I8" i="8"/>
  <c r="J8" i="8"/>
  <c r="K8" i="8"/>
  <c r="L8" i="8"/>
  <c r="B8" i="8"/>
  <c r="C7" i="8"/>
  <c r="D7" i="8"/>
  <c r="E7" i="8"/>
  <c r="F7" i="8"/>
  <c r="G7" i="8"/>
  <c r="H7" i="8"/>
  <c r="I7" i="8"/>
  <c r="J7" i="8"/>
  <c r="K7" i="8"/>
  <c r="L7" i="8"/>
  <c r="B7" i="8"/>
  <c r="C6" i="8"/>
  <c r="D6" i="8"/>
  <c r="E6" i="8"/>
  <c r="F6" i="8"/>
  <c r="G6" i="8"/>
  <c r="H6" i="8"/>
  <c r="I6" i="8"/>
  <c r="J6" i="8"/>
  <c r="K6" i="8"/>
  <c r="L6" i="8"/>
  <c r="B6" i="8"/>
  <c r="C5" i="8"/>
  <c r="D5" i="8"/>
  <c r="E5" i="8"/>
  <c r="F5" i="8"/>
  <c r="G5" i="8"/>
  <c r="H5" i="8"/>
  <c r="I5" i="8"/>
  <c r="J5" i="8"/>
  <c r="K5" i="8"/>
  <c r="L5" i="8"/>
  <c r="B5" i="8"/>
  <c r="E4" i="4"/>
  <c r="C33" i="7"/>
  <c r="D33" i="7"/>
  <c r="E33" i="7"/>
  <c r="F33" i="7"/>
  <c r="G33" i="7"/>
  <c r="H33" i="7"/>
  <c r="I33" i="7"/>
  <c r="J33" i="7"/>
  <c r="K33" i="7"/>
  <c r="L33" i="7"/>
  <c r="M33" i="7"/>
  <c r="B33" i="7"/>
  <c r="D28" i="7"/>
  <c r="E28" i="7"/>
  <c r="F28" i="7"/>
  <c r="G28" i="7"/>
  <c r="H28" i="7"/>
  <c r="I28" i="7"/>
  <c r="J28" i="7"/>
  <c r="K28" i="7"/>
  <c r="L28" i="7"/>
  <c r="M28" i="7"/>
  <c r="C28" i="7"/>
  <c r="D27" i="7"/>
  <c r="E27" i="7"/>
  <c r="F27" i="7"/>
  <c r="G27" i="7"/>
  <c r="H27" i="7"/>
  <c r="I27" i="7"/>
  <c r="J27" i="7"/>
  <c r="K27" i="7"/>
  <c r="L27" i="7"/>
  <c r="M27" i="7"/>
  <c r="C27" i="7"/>
  <c r="D22" i="7"/>
  <c r="E22" i="7"/>
  <c r="F22" i="7"/>
  <c r="G22" i="7"/>
  <c r="H22" i="7"/>
  <c r="I22" i="7"/>
  <c r="J22" i="7"/>
  <c r="K22" i="7"/>
  <c r="L22" i="7"/>
  <c r="M22" i="7"/>
  <c r="C22" i="7"/>
  <c r="D21" i="7"/>
  <c r="E21" i="7"/>
  <c r="F21" i="7"/>
  <c r="G21" i="7"/>
  <c r="H21" i="7"/>
  <c r="I21" i="7"/>
  <c r="J21" i="7"/>
  <c r="K21" i="7"/>
  <c r="L21" i="7"/>
  <c r="M21" i="7"/>
  <c r="C21" i="7"/>
  <c r="C20" i="7"/>
  <c r="D20" i="7"/>
  <c r="E20" i="7"/>
  <c r="F20" i="7"/>
  <c r="G20" i="7"/>
  <c r="H20" i="7"/>
  <c r="I20" i="7"/>
  <c r="J20" i="7"/>
  <c r="K20" i="7"/>
  <c r="L20" i="7"/>
  <c r="M20" i="7"/>
  <c r="B20" i="7"/>
  <c r="C19" i="7"/>
  <c r="D19" i="7"/>
  <c r="E19" i="7"/>
  <c r="F19" i="7"/>
  <c r="G19" i="7"/>
  <c r="H19" i="7"/>
  <c r="I19" i="7"/>
  <c r="J19" i="7"/>
  <c r="K19" i="7"/>
  <c r="L19" i="7"/>
  <c r="M19" i="7"/>
  <c r="B19" i="7"/>
  <c r="C14" i="7"/>
  <c r="D14" i="7"/>
  <c r="E14" i="7"/>
  <c r="F14" i="7"/>
  <c r="G14" i="7"/>
  <c r="H14" i="7"/>
  <c r="I14" i="7"/>
  <c r="J14" i="7"/>
  <c r="K14" i="7"/>
  <c r="L14" i="7"/>
  <c r="M14" i="7"/>
  <c r="B14" i="7"/>
  <c r="C13" i="7"/>
  <c r="D13" i="7"/>
  <c r="E13" i="7"/>
  <c r="F13" i="7"/>
  <c r="G13" i="7"/>
  <c r="H13" i="7"/>
  <c r="I13" i="7"/>
  <c r="J13" i="7"/>
  <c r="K13" i="7"/>
  <c r="L13" i="7"/>
  <c r="M13" i="7"/>
  <c r="B13" i="7"/>
  <c r="C8" i="7"/>
  <c r="D8" i="7"/>
  <c r="E8" i="7"/>
  <c r="F8" i="7"/>
  <c r="G8" i="7"/>
  <c r="H8" i="7"/>
  <c r="I8" i="7"/>
  <c r="J8" i="7"/>
  <c r="K8" i="7"/>
  <c r="L8" i="7"/>
  <c r="M8" i="7"/>
  <c r="B8" i="7"/>
  <c r="C7" i="7"/>
  <c r="D7" i="7"/>
  <c r="E7" i="7"/>
  <c r="F7" i="7"/>
  <c r="G7" i="7"/>
  <c r="H7" i="7"/>
  <c r="I7" i="7"/>
  <c r="J7" i="7"/>
  <c r="K7" i="7"/>
  <c r="L7" i="7"/>
  <c r="M7" i="7"/>
  <c r="B7" i="7"/>
  <c r="D33" i="6"/>
  <c r="E33" i="6"/>
  <c r="F33" i="6"/>
  <c r="G33" i="6"/>
  <c r="H33" i="6"/>
  <c r="I33" i="6"/>
  <c r="J33" i="6"/>
  <c r="K33" i="6"/>
  <c r="L33" i="6"/>
  <c r="M33" i="6"/>
  <c r="D32" i="6"/>
  <c r="E32" i="6"/>
  <c r="F32" i="6"/>
  <c r="G32" i="6"/>
  <c r="H32" i="6"/>
  <c r="I32" i="6"/>
  <c r="J32" i="6"/>
  <c r="K32" i="6"/>
  <c r="L32" i="6"/>
  <c r="M32" i="6"/>
  <c r="D31" i="6"/>
  <c r="E31" i="6"/>
  <c r="F31" i="6"/>
  <c r="G31" i="6"/>
  <c r="H31" i="6"/>
  <c r="I31" i="6"/>
  <c r="J31" i="6"/>
  <c r="K31" i="6"/>
  <c r="L31" i="6"/>
  <c r="M31" i="6"/>
  <c r="D30" i="6"/>
  <c r="E30" i="6"/>
  <c r="F30" i="6"/>
  <c r="G30" i="6"/>
  <c r="H30" i="6"/>
  <c r="I30" i="6"/>
  <c r="J30" i="6"/>
  <c r="K30" i="6"/>
  <c r="L30" i="6"/>
  <c r="M30" i="6"/>
  <c r="D29" i="6"/>
  <c r="E29" i="6"/>
  <c r="F29" i="6"/>
  <c r="G29" i="6"/>
  <c r="H29" i="6"/>
  <c r="I29" i="6"/>
  <c r="J29" i="6"/>
  <c r="K29" i="6"/>
  <c r="L29" i="6"/>
  <c r="M29" i="6"/>
  <c r="D28" i="6"/>
  <c r="E28" i="6"/>
  <c r="F28" i="6"/>
  <c r="G28" i="6"/>
  <c r="H28" i="6"/>
  <c r="I28" i="6"/>
  <c r="J28" i="6"/>
  <c r="K28" i="6"/>
  <c r="L28" i="6"/>
  <c r="M28" i="6"/>
  <c r="D27" i="6"/>
  <c r="E27" i="6"/>
  <c r="F27" i="6"/>
  <c r="G27" i="6"/>
  <c r="H27" i="6"/>
  <c r="I27" i="6"/>
  <c r="J27" i="6"/>
  <c r="K27" i="6"/>
  <c r="L27" i="6"/>
  <c r="M27" i="6"/>
  <c r="D26" i="6"/>
  <c r="E26" i="6"/>
  <c r="F26" i="6"/>
  <c r="G26" i="6"/>
  <c r="H26" i="6"/>
  <c r="I26" i="6"/>
  <c r="J26" i="6"/>
  <c r="K26" i="6"/>
  <c r="L26" i="6"/>
  <c r="M26" i="6"/>
  <c r="C33" i="6"/>
  <c r="C32" i="6"/>
  <c r="C31" i="6"/>
  <c r="C30" i="6"/>
  <c r="C29" i="6"/>
  <c r="C28" i="6"/>
  <c r="C27" i="6"/>
  <c r="C26" i="6"/>
  <c r="D25" i="6"/>
  <c r="E25" i="6"/>
  <c r="F25" i="6"/>
  <c r="G25" i="6"/>
  <c r="H25" i="6"/>
  <c r="I25" i="6"/>
  <c r="J25" i="6"/>
  <c r="K25" i="6"/>
  <c r="L25" i="6"/>
  <c r="M25" i="6"/>
  <c r="D22" i="6"/>
  <c r="E22" i="6"/>
  <c r="F22" i="6"/>
  <c r="G22" i="6"/>
  <c r="H22" i="6"/>
  <c r="I22" i="6"/>
  <c r="J22" i="6"/>
  <c r="K22" i="6"/>
  <c r="L22" i="6"/>
  <c r="M22" i="6"/>
  <c r="C22" i="6"/>
  <c r="C25" i="6"/>
  <c r="D24" i="6"/>
  <c r="E24" i="6"/>
  <c r="F24" i="6"/>
  <c r="G24" i="6"/>
  <c r="H24" i="6"/>
  <c r="I24" i="6"/>
  <c r="J24" i="6"/>
  <c r="K24" i="6"/>
  <c r="L24" i="6"/>
  <c r="M24" i="6"/>
  <c r="C24" i="6"/>
  <c r="D23" i="6"/>
  <c r="E23" i="6"/>
  <c r="F23" i="6"/>
  <c r="G23" i="6"/>
  <c r="H23" i="6"/>
  <c r="I23" i="6"/>
  <c r="J23" i="6"/>
  <c r="K23" i="6"/>
  <c r="L23" i="6"/>
  <c r="M23" i="6"/>
  <c r="C23" i="6"/>
  <c r="D21" i="6"/>
  <c r="E21" i="6"/>
  <c r="F21" i="6"/>
  <c r="G21" i="6"/>
  <c r="H21" i="6"/>
  <c r="I21" i="6"/>
  <c r="J21" i="6"/>
  <c r="K21" i="6"/>
  <c r="L21" i="6"/>
  <c r="M21" i="6"/>
  <c r="C21" i="6"/>
  <c r="D20" i="6"/>
  <c r="E20" i="6"/>
  <c r="F20" i="6"/>
  <c r="G20" i="6"/>
  <c r="H20" i="6"/>
  <c r="I20" i="6"/>
  <c r="J20" i="6"/>
  <c r="K20" i="6"/>
  <c r="L20" i="6"/>
  <c r="M20" i="6"/>
  <c r="C20" i="6"/>
  <c r="D14" i="6"/>
  <c r="E14" i="6"/>
  <c r="F14" i="6"/>
  <c r="G14" i="6"/>
  <c r="H14" i="6"/>
  <c r="I14" i="6"/>
  <c r="J14" i="6"/>
  <c r="K14" i="6"/>
  <c r="L14" i="6"/>
  <c r="M14" i="6"/>
  <c r="D13" i="6"/>
  <c r="E13" i="6"/>
  <c r="F13" i="6"/>
  <c r="G13" i="6"/>
  <c r="H13" i="6"/>
  <c r="I13" i="6"/>
  <c r="J13" i="6"/>
  <c r="K13" i="6"/>
  <c r="L13" i="6"/>
  <c r="M13" i="6"/>
  <c r="D12" i="6"/>
  <c r="E12" i="6"/>
  <c r="F12" i="6"/>
  <c r="G12" i="6"/>
  <c r="H12" i="6"/>
  <c r="I12" i="6"/>
  <c r="J12" i="6"/>
  <c r="K12" i="6"/>
  <c r="L12" i="6"/>
  <c r="M12" i="6"/>
  <c r="D11" i="6"/>
  <c r="E11" i="6"/>
  <c r="F11" i="6"/>
  <c r="G11" i="6"/>
  <c r="H11" i="6"/>
  <c r="I11" i="6"/>
  <c r="J11" i="6"/>
  <c r="K11" i="6"/>
  <c r="L11" i="6"/>
  <c r="M11" i="6"/>
  <c r="D10" i="6"/>
  <c r="E10" i="6"/>
  <c r="F10" i="6"/>
  <c r="G10" i="6"/>
  <c r="H10" i="6"/>
  <c r="I10" i="6"/>
  <c r="J10" i="6"/>
  <c r="K10" i="6"/>
  <c r="L10" i="6"/>
  <c r="M10" i="6"/>
  <c r="D9" i="6"/>
  <c r="E9" i="6"/>
  <c r="F9" i="6"/>
  <c r="G9" i="6"/>
  <c r="H9" i="6"/>
  <c r="I9" i="6"/>
  <c r="J9" i="6"/>
  <c r="K9" i="6"/>
  <c r="L9" i="6"/>
  <c r="M9" i="6"/>
  <c r="D8" i="6"/>
  <c r="E8" i="6"/>
  <c r="F8" i="6"/>
  <c r="G8" i="6"/>
  <c r="H8" i="6"/>
  <c r="I8" i="6"/>
  <c r="J8" i="6"/>
  <c r="K8" i="6"/>
  <c r="L8" i="6"/>
  <c r="M8" i="6"/>
  <c r="D7" i="6"/>
  <c r="E7" i="6"/>
  <c r="F7" i="6"/>
  <c r="G7" i="6"/>
  <c r="H7" i="6"/>
  <c r="I7" i="6"/>
  <c r="J7" i="6"/>
  <c r="K7" i="6"/>
  <c r="L7" i="6"/>
  <c r="M7" i="6"/>
  <c r="C14" i="6"/>
  <c r="C13" i="6"/>
  <c r="C12" i="6"/>
  <c r="C11" i="6"/>
  <c r="C10" i="6"/>
  <c r="C9" i="6"/>
  <c r="C8" i="6"/>
  <c r="C7" i="6"/>
  <c r="D6" i="6"/>
  <c r="E6" i="6"/>
  <c r="F6" i="6"/>
  <c r="G6" i="6"/>
  <c r="H6" i="6"/>
  <c r="I6" i="6"/>
  <c r="J6" i="6"/>
  <c r="K6" i="6"/>
  <c r="L6" i="6"/>
  <c r="M6" i="6"/>
  <c r="C6" i="6"/>
  <c r="C31" i="5"/>
  <c r="D31" i="5"/>
  <c r="E31" i="5"/>
  <c r="F31" i="5"/>
  <c r="G31" i="5"/>
  <c r="H31" i="5"/>
  <c r="I31" i="5"/>
  <c r="J31" i="5"/>
  <c r="K31" i="5"/>
  <c r="L31" i="5"/>
  <c r="M31" i="5"/>
  <c r="C30" i="5"/>
  <c r="D30" i="5"/>
  <c r="E30" i="5"/>
  <c r="F30" i="5"/>
  <c r="G30" i="5"/>
  <c r="H30" i="5"/>
  <c r="I30" i="5"/>
  <c r="J30" i="5"/>
  <c r="K30" i="5"/>
  <c r="L30" i="5"/>
  <c r="M30" i="5"/>
  <c r="C29" i="5"/>
  <c r="D29" i="5"/>
  <c r="E29" i="5"/>
  <c r="F29" i="5"/>
  <c r="G29" i="5"/>
  <c r="H29" i="5"/>
  <c r="I29" i="5"/>
  <c r="J29" i="5"/>
  <c r="K29" i="5"/>
  <c r="L29" i="5"/>
  <c r="M29" i="5"/>
  <c r="C28" i="5"/>
  <c r="D28" i="5"/>
  <c r="E28" i="5"/>
  <c r="F28" i="5"/>
  <c r="G28" i="5"/>
  <c r="H28" i="5"/>
  <c r="I28" i="5"/>
  <c r="J28" i="5"/>
  <c r="K28" i="5"/>
  <c r="L28" i="5"/>
  <c r="M28" i="5"/>
  <c r="C27" i="5"/>
  <c r="D27" i="5"/>
  <c r="E27" i="5"/>
  <c r="F27" i="5"/>
  <c r="G27" i="5"/>
  <c r="H27" i="5"/>
  <c r="I27" i="5"/>
  <c r="J27" i="5"/>
  <c r="K27" i="5"/>
  <c r="L27" i="5"/>
  <c r="M27" i="5"/>
  <c r="C26" i="5"/>
  <c r="D26" i="5"/>
  <c r="E26" i="5"/>
  <c r="F26" i="5"/>
  <c r="G26" i="5"/>
  <c r="H26" i="5"/>
  <c r="I26" i="5"/>
  <c r="J26" i="5"/>
  <c r="K26" i="5"/>
  <c r="L26" i="5"/>
  <c r="M26" i="5"/>
  <c r="C25" i="5"/>
  <c r="D25" i="5"/>
  <c r="E25" i="5"/>
  <c r="F25" i="5"/>
  <c r="G25" i="5"/>
  <c r="H25" i="5"/>
  <c r="I25" i="5"/>
  <c r="J25" i="5"/>
  <c r="K25" i="5"/>
  <c r="L25" i="5"/>
  <c r="M25" i="5"/>
  <c r="B31" i="5"/>
  <c r="B30" i="5"/>
  <c r="B29" i="5"/>
  <c r="B28" i="5"/>
  <c r="B27" i="5"/>
  <c r="B26" i="5"/>
  <c r="B25" i="5"/>
  <c r="C24" i="5"/>
  <c r="D24" i="5"/>
  <c r="E24" i="5"/>
  <c r="F24" i="5"/>
  <c r="G24" i="5"/>
  <c r="H24" i="5"/>
  <c r="I24" i="5"/>
  <c r="J24" i="5"/>
  <c r="K24" i="5"/>
  <c r="L24" i="5"/>
  <c r="M24" i="5"/>
  <c r="C23" i="5"/>
  <c r="D23" i="5"/>
  <c r="E23" i="5"/>
  <c r="F23" i="5"/>
  <c r="G23" i="5"/>
  <c r="H23" i="5"/>
  <c r="I23" i="5"/>
  <c r="J23" i="5"/>
  <c r="K23" i="5"/>
  <c r="L23" i="5"/>
  <c r="M23" i="5"/>
  <c r="B24" i="5"/>
  <c r="B23" i="5"/>
  <c r="C22" i="5"/>
  <c r="D22" i="5"/>
  <c r="E22" i="5"/>
  <c r="F22" i="5"/>
  <c r="G22" i="5"/>
  <c r="H22" i="5"/>
  <c r="I22" i="5"/>
  <c r="J22" i="5"/>
  <c r="K22" i="5"/>
  <c r="L22" i="5"/>
  <c r="M22" i="5"/>
  <c r="B22" i="5"/>
  <c r="C21" i="5"/>
  <c r="D21" i="5"/>
  <c r="E21" i="5"/>
  <c r="F21" i="5"/>
  <c r="G21" i="5"/>
  <c r="H21" i="5"/>
  <c r="I21" i="5"/>
  <c r="J21" i="5"/>
  <c r="K21" i="5"/>
  <c r="L21" i="5"/>
  <c r="M21" i="5"/>
  <c r="B21" i="5"/>
  <c r="C20" i="5"/>
  <c r="D20" i="5"/>
  <c r="E20" i="5"/>
  <c r="F20" i="5"/>
  <c r="G20" i="5"/>
  <c r="H20" i="5"/>
  <c r="I20" i="5"/>
  <c r="J20" i="5"/>
  <c r="K20" i="5"/>
  <c r="L20" i="5"/>
  <c r="M20" i="5"/>
  <c r="B20" i="5"/>
  <c r="C19" i="5"/>
  <c r="D19" i="5"/>
  <c r="E19" i="5"/>
  <c r="F19" i="5"/>
  <c r="G19" i="5"/>
  <c r="H19" i="5"/>
  <c r="I19" i="5"/>
  <c r="J19" i="5"/>
  <c r="K19" i="5"/>
  <c r="L19" i="5"/>
  <c r="M19" i="5"/>
  <c r="B19" i="5"/>
  <c r="C12" i="5"/>
  <c r="D12" i="5"/>
  <c r="E12" i="5"/>
  <c r="F12" i="5"/>
  <c r="G12" i="5"/>
  <c r="H12" i="5"/>
  <c r="I12" i="5"/>
  <c r="J12" i="5"/>
  <c r="K12" i="5"/>
  <c r="L12" i="5"/>
  <c r="M12" i="5"/>
  <c r="B12" i="5"/>
  <c r="C11" i="5"/>
  <c r="D11" i="5"/>
  <c r="E11" i="5"/>
  <c r="F11" i="5"/>
  <c r="G11" i="5"/>
  <c r="H11" i="5"/>
  <c r="I11" i="5"/>
  <c r="J11" i="5"/>
  <c r="K11" i="5"/>
  <c r="L11" i="5"/>
  <c r="M11" i="5"/>
  <c r="B11" i="5"/>
  <c r="C10" i="5"/>
  <c r="D10" i="5"/>
  <c r="E10" i="5"/>
  <c r="F10" i="5"/>
  <c r="G10" i="5"/>
  <c r="H10" i="5"/>
  <c r="I10" i="5"/>
  <c r="J10" i="5"/>
  <c r="K10" i="5"/>
  <c r="L10" i="5"/>
  <c r="M10" i="5"/>
  <c r="B10" i="5"/>
  <c r="C9" i="5"/>
  <c r="D9" i="5"/>
  <c r="E9" i="5"/>
  <c r="F9" i="5"/>
  <c r="G9" i="5"/>
  <c r="H9" i="5"/>
  <c r="I9" i="5"/>
  <c r="J9" i="5"/>
  <c r="K9" i="5"/>
  <c r="L9" i="5"/>
  <c r="M9" i="5"/>
  <c r="B9" i="5"/>
  <c r="C8" i="5"/>
  <c r="D8" i="5"/>
  <c r="E8" i="5"/>
  <c r="F8" i="5"/>
  <c r="G8" i="5"/>
  <c r="H8" i="5"/>
  <c r="I8" i="5"/>
  <c r="J8" i="5"/>
  <c r="K8" i="5"/>
  <c r="L8" i="5"/>
  <c r="M8" i="5"/>
  <c r="B8" i="5"/>
  <c r="C7" i="5"/>
  <c r="D7" i="5"/>
  <c r="E7" i="5"/>
  <c r="F7" i="5"/>
  <c r="G7" i="5"/>
  <c r="H7" i="5"/>
  <c r="I7" i="5"/>
  <c r="J7" i="5"/>
  <c r="K7" i="5"/>
  <c r="L7" i="5"/>
  <c r="M7" i="5"/>
  <c r="B7" i="5"/>
  <c r="C6" i="5"/>
  <c r="D6" i="5"/>
  <c r="E6" i="5"/>
  <c r="F6" i="5"/>
  <c r="G6" i="5"/>
  <c r="H6" i="5"/>
  <c r="I6" i="5"/>
  <c r="J6" i="5"/>
  <c r="K6" i="5"/>
  <c r="L6" i="5"/>
  <c r="M6" i="5"/>
  <c r="B6" i="5"/>
  <c r="E5" i="4"/>
  <c r="E6" i="4"/>
  <c r="E7" i="4"/>
  <c r="E8" i="4"/>
  <c r="E9" i="4"/>
  <c r="E10" i="4"/>
  <c r="E11" i="4"/>
  <c r="E12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21" i="4"/>
  <c r="Y34" i="4"/>
  <c r="Y22" i="4"/>
  <c r="Y23" i="4"/>
  <c r="Y24" i="4"/>
  <c r="Y25" i="4"/>
  <c r="Y26" i="4"/>
  <c r="Y27" i="4"/>
  <c r="Y28" i="4"/>
  <c r="Y29" i="4"/>
  <c r="Y30" i="4"/>
  <c r="Y31" i="4"/>
  <c r="Y32" i="4"/>
  <c r="Y33" i="4"/>
  <c r="Y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21" i="4"/>
  <c r="AI5" i="4"/>
  <c r="AI6" i="4"/>
  <c r="AI7" i="4"/>
  <c r="AI8" i="4"/>
  <c r="AI9" i="4"/>
  <c r="AI10" i="4"/>
  <c r="AI11" i="4"/>
  <c r="AI12" i="4"/>
  <c r="AI4" i="4"/>
  <c r="AH5" i="4"/>
  <c r="AH6" i="4"/>
  <c r="AH7" i="4"/>
  <c r="AH8" i="4"/>
  <c r="AH9" i="4"/>
  <c r="AH10" i="4"/>
  <c r="AH11" i="4"/>
  <c r="AH12" i="4"/>
  <c r="AH4" i="4"/>
  <c r="AF5" i="4"/>
  <c r="AF6" i="4"/>
  <c r="AF7" i="4"/>
  <c r="AF8" i="4"/>
  <c r="AF9" i="4"/>
  <c r="AF10" i="4"/>
  <c r="AF11" i="4"/>
  <c r="AF12" i="4"/>
  <c r="AF4" i="4"/>
  <c r="AE5" i="4"/>
  <c r="AE6" i="4"/>
  <c r="AE7" i="4"/>
  <c r="AE8" i="4"/>
  <c r="AE9" i="4"/>
  <c r="AE10" i="4"/>
  <c r="AE11" i="4"/>
  <c r="AE12" i="4"/>
  <c r="AE4" i="4"/>
  <c r="AC5" i="4"/>
  <c r="AC6" i="4"/>
  <c r="AC7" i="4"/>
  <c r="AC8" i="4"/>
  <c r="AC9" i="4"/>
  <c r="AC10" i="4"/>
  <c r="AC11" i="4"/>
  <c r="AC12" i="4"/>
  <c r="AC4" i="4"/>
  <c r="AB5" i="4"/>
  <c r="AB6" i="4"/>
  <c r="AB7" i="4"/>
  <c r="AB8" i="4"/>
  <c r="AB9" i="4"/>
  <c r="AB10" i="4"/>
  <c r="AB11" i="4"/>
  <c r="AB12" i="4"/>
  <c r="AB4" i="4"/>
  <c r="Z5" i="4"/>
  <c r="Z6" i="4"/>
  <c r="Z7" i="4"/>
  <c r="Z8" i="4"/>
  <c r="Z9" i="4"/>
  <c r="Z10" i="4"/>
  <c r="Z11" i="4"/>
  <c r="Z12" i="4"/>
  <c r="Z4" i="4"/>
  <c r="Y5" i="4"/>
  <c r="Y6" i="4"/>
  <c r="Y7" i="4"/>
  <c r="Y8" i="4"/>
  <c r="Y9" i="4"/>
  <c r="Y10" i="4"/>
  <c r="Y11" i="4"/>
  <c r="Y12" i="4"/>
  <c r="Y4" i="4"/>
  <c r="W5" i="4"/>
  <c r="W6" i="4"/>
  <c r="W7" i="4"/>
  <c r="W8" i="4"/>
  <c r="W9" i="4"/>
  <c r="W10" i="4"/>
  <c r="W11" i="4"/>
  <c r="W12" i="4"/>
  <c r="W4" i="4"/>
  <c r="V5" i="4"/>
  <c r="V6" i="4"/>
  <c r="V7" i="4"/>
  <c r="V8" i="4"/>
  <c r="V9" i="4"/>
  <c r="V10" i="4"/>
  <c r="V11" i="4"/>
  <c r="V12" i="4"/>
  <c r="V4" i="4"/>
  <c r="T5" i="4"/>
  <c r="T6" i="4"/>
  <c r="T7" i="4"/>
  <c r="T8" i="4"/>
  <c r="T9" i="4"/>
  <c r="T10" i="4"/>
  <c r="T11" i="4"/>
  <c r="T12" i="4"/>
  <c r="T4" i="4"/>
  <c r="S5" i="4"/>
  <c r="S6" i="4"/>
  <c r="S7" i="4"/>
  <c r="S8" i="4"/>
  <c r="S9" i="4"/>
  <c r="S10" i="4"/>
  <c r="S11" i="4"/>
  <c r="S12" i="4"/>
  <c r="S4" i="4"/>
  <c r="Q5" i="4"/>
  <c r="Q6" i="4"/>
  <c r="Q7" i="4"/>
  <c r="Q8" i="4"/>
  <c r="Q9" i="4"/>
  <c r="Q10" i="4"/>
  <c r="Q11" i="4"/>
  <c r="Q12" i="4"/>
  <c r="Q4" i="4"/>
  <c r="P5" i="4"/>
  <c r="P6" i="4"/>
  <c r="P7" i="4"/>
  <c r="P8" i="4"/>
  <c r="P9" i="4"/>
  <c r="P10" i="4"/>
  <c r="P11" i="4"/>
  <c r="P12" i="4"/>
  <c r="P4" i="4"/>
  <c r="N5" i="4"/>
  <c r="N6" i="4"/>
  <c r="N7" i="4"/>
  <c r="N8" i="4"/>
  <c r="N9" i="4"/>
  <c r="N10" i="4"/>
  <c r="N11" i="4"/>
  <c r="N12" i="4"/>
  <c r="N4" i="4"/>
  <c r="M5" i="4"/>
  <c r="M6" i="4"/>
  <c r="M7" i="4"/>
  <c r="M8" i="4"/>
  <c r="M9" i="4"/>
  <c r="M10" i="4"/>
  <c r="M11" i="4"/>
  <c r="M12" i="4"/>
  <c r="M4" i="4"/>
  <c r="K5" i="4"/>
  <c r="K6" i="4"/>
  <c r="K7" i="4"/>
  <c r="K8" i="4"/>
  <c r="K9" i="4"/>
  <c r="K10" i="4"/>
  <c r="K11" i="4"/>
  <c r="K12" i="4"/>
  <c r="K4" i="4"/>
  <c r="J5" i="4"/>
  <c r="J6" i="4"/>
  <c r="J7" i="4"/>
  <c r="J8" i="4"/>
  <c r="J9" i="4"/>
  <c r="J10" i="4"/>
  <c r="J11" i="4"/>
  <c r="J12" i="4"/>
  <c r="J4" i="4"/>
  <c r="H5" i="4"/>
  <c r="H6" i="4"/>
  <c r="H7" i="4"/>
  <c r="H8" i="4"/>
  <c r="H9" i="4"/>
  <c r="H10" i="4"/>
  <c r="H11" i="4"/>
  <c r="H12" i="4"/>
  <c r="H4" i="4"/>
  <c r="G5" i="4"/>
  <c r="G6" i="4"/>
  <c r="G7" i="4"/>
  <c r="G8" i="4"/>
  <c r="G9" i="4"/>
  <c r="G10" i="4"/>
  <c r="G11" i="4"/>
  <c r="G12" i="4"/>
  <c r="G4" i="4"/>
  <c r="D5" i="4"/>
  <c r="D6" i="4"/>
  <c r="D7" i="4"/>
  <c r="D8" i="4"/>
  <c r="D9" i="4"/>
  <c r="D10" i="4"/>
  <c r="D11" i="4"/>
  <c r="D12" i="4"/>
  <c r="D4" i="4"/>
</calcChain>
</file>

<file path=xl/sharedStrings.xml><?xml version="1.0" encoding="utf-8"?>
<sst xmlns="http://schemas.openxmlformats.org/spreadsheetml/2006/main" count="244" uniqueCount="126">
  <si>
    <t>Mar 2015</t>
  </si>
  <si>
    <t>TTM</t>
  </si>
  <si>
    <t>Sales Growth %</t>
  </si>
  <si>
    <t>Raw material cost</t>
  </si>
  <si>
    <t>Change in inventory</t>
  </si>
  <si>
    <t>Manufacturing Cost %</t>
  </si>
  <si>
    <t>Employee Cost %</t>
  </si>
  <si>
    <t>Other Cost %</t>
  </si>
  <si>
    <t>Operating Profit</t>
  </si>
  <si>
    <t>OPM %</t>
  </si>
  <si>
    <t>Exceptional items</t>
  </si>
  <si>
    <t>Other income normal</t>
  </si>
  <si>
    <t>Interest</t>
  </si>
  <si>
    <t>Depreciation</t>
  </si>
  <si>
    <t>Profit before tax</t>
  </si>
  <si>
    <t>Tax %</t>
  </si>
  <si>
    <t>Minority share</t>
  </si>
  <si>
    <t>Exceptional items AT</t>
  </si>
  <si>
    <t>Profit excl Excep</t>
  </si>
  <si>
    <t>Profit for PE</t>
  </si>
  <si>
    <t>Profit for EPS</t>
  </si>
  <si>
    <t>Profit Growth %</t>
  </si>
  <si>
    <t>EPS in Rs</t>
  </si>
  <si>
    <t>Dividend Payout %</t>
  </si>
  <si>
    <t>Material Cost % -</t>
  </si>
  <si>
    <t>Equity Capital</t>
  </si>
  <si>
    <t>Reserves</t>
  </si>
  <si>
    <t>Long term Borrowings</t>
  </si>
  <si>
    <t>Short term Borrowings</t>
  </si>
  <si>
    <t>Lease Liabilities</t>
  </si>
  <si>
    <t>Preference Capital</t>
  </si>
  <si>
    <t>Other Borrowings</t>
  </si>
  <si>
    <t>Non controlling int</t>
  </si>
  <si>
    <t>Trade Payables</t>
  </si>
  <si>
    <t>Advance from Customers</t>
  </si>
  <si>
    <t>Other liability items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</si>
  <si>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</si>
  <si>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</si>
  <si>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</si>
  <si>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</si>
  <si>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</si>
  <si>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</si>
  <si>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</si>
  <si>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</si>
  <si>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</si>
  <si>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</si>
  <si>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</si>
  <si>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Investments</t>
  </si>
  <si>
    <t>Inventories</t>
  </si>
  <si>
    <t>Trade receivables</t>
  </si>
  <si>
    <t>Cash Equivalents</t>
  </si>
  <si>
    <t>Loans n Advances</t>
  </si>
  <si>
    <t>Other asset items</t>
  </si>
  <si>
    <t>Total Assets</t>
  </si>
  <si>
    <t>Particulars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</si>
  <si>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</si>
  <si>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</si>
  <si>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</si>
  <si>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</si>
  <si>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</si>
  <si>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</si>
  <si>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</si>
  <si>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</si>
  <si>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</si>
  <si>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Mar 2025</t>
  </si>
  <si>
    <t>Mar 2026</t>
  </si>
  <si>
    <t>Borrowings</t>
  </si>
  <si>
    <t>Other Liabilities</t>
  </si>
  <si>
    <t>Fixed Assets</t>
  </si>
  <si>
    <t>Other Assets</t>
  </si>
  <si>
    <t>Mar-15</t>
  </si>
  <si>
    <t>Mar-16</t>
  </si>
  <si>
    <t>Mar-17</t>
  </si>
  <si>
    <t>Mar-18</t>
  </si>
  <si>
    <t>Mar-19</t>
  </si>
  <si>
    <t>Mar-20</t>
  </si>
  <si>
    <t>Mar-21</t>
  </si>
  <si>
    <t>Mar-22</t>
  </si>
  <si>
    <t>Mar-23</t>
  </si>
  <si>
    <t>Mar-24</t>
  </si>
  <si>
    <t>Mar-25</t>
  </si>
  <si>
    <t>Mar-26</t>
  </si>
  <si>
    <t>Sales -</t>
  </si>
  <si>
    <t>Expenses -</t>
  </si>
  <si>
    <t>Other Income -</t>
  </si>
  <si>
    <t>Net Profit -</t>
  </si>
  <si>
    <t>Horizontal Analysis - Income Statement</t>
  </si>
  <si>
    <t>%Change</t>
  </si>
  <si>
    <t>Change</t>
  </si>
  <si>
    <t>Sales</t>
  </si>
  <si>
    <t>Expenses</t>
  </si>
  <si>
    <t>Other Income</t>
  </si>
  <si>
    <t xml:space="preserve">Interest </t>
  </si>
  <si>
    <t>Profit Before Tax</t>
  </si>
  <si>
    <t>Net Profit</t>
  </si>
  <si>
    <t>EPS</t>
  </si>
  <si>
    <t>Horizontal Analysis - Balance Sheet</t>
  </si>
  <si>
    <t>Trade Receivables</t>
  </si>
  <si>
    <t>Vertical Analysis - Income Statement</t>
  </si>
  <si>
    <t>Vertical Analysis - Balance Sheet</t>
  </si>
  <si>
    <t>Trend Analysis - Income Statement</t>
  </si>
  <si>
    <t>Trend Analysis - Balance Sheet</t>
  </si>
  <si>
    <t>Current Ratio</t>
  </si>
  <si>
    <t>Quick Ratio</t>
  </si>
  <si>
    <t>Debt-Equity Ratio</t>
  </si>
  <si>
    <t>Debt Ratio</t>
  </si>
  <si>
    <t>Operating Profit Margin</t>
  </si>
  <si>
    <t>Net Profit Margin</t>
  </si>
  <si>
    <t>ROE</t>
  </si>
  <si>
    <t>ROA</t>
  </si>
  <si>
    <t>Asset Turnover Ratio</t>
  </si>
  <si>
    <t>Receivables Turnover Ratio</t>
  </si>
  <si>
    <t>-</t>
  </si>
  <si>
    <t>Ratio Analysis</t>
  </si>
  <si>
    <t>Liquidity</t>
  </si>
  <si>
    <t>Solvency</t>
  </si>
  <si>
    <t>Profitability</t>
  </si>
  <si>
    <t>Turnover</t>
  </si>
  <si>
    <t>Earnings</t>
  </si>
  <si>
    <t>Asset Turnover</t>
  </si>
  <si>
    <t>Reported ROE</t>
  </si>
  <si>
    <t>Du-pont Analysis</t>
  </si>
  <si>
    <t>Equity Multiplier</t>
  </si>
  <si>
    <t>DuPont ROE</t>
  </si>
  <si>
    <t>Total Liabilities&amp;Equity</t>
  </si>
  <si>
    <t>Total 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</si>
</sst>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rgb="FF37415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3" fontId="1" fillId="0" borderId="1" xfId="0" applyNumberFormat="1" applyFont="1" applyBorder="1"/>
    <xf numFmtId="3" fontId="0" fillId="0" borderId="1" xfId="0" applyNumberFormat="1" applyBorder="1"/>
    <xf numFmtId="3" fontId="2" fillId="0" borderId="1" xfId="0" applyNumberFormat="1" applyFon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9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2" fillId="0" borderId="2" xfId="0" applyFont="1" applyBorder="1" applyAlignment="1">
      <alignment horizontal="center" vertical="top"/>
    </xf>
    <xf numFmtId="3" fontId="2" fillId="0" borderId="3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9" fontId="0" fillId="0" borderId="3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2" fontId="0" fillId="0" borderId="3" xfId="0" applyNumberFormat="1" applyBorder="1" applyAlignment="1">
      <alignment horizontal="right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9" fontId="0" fillId="0" borderId="8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3" fontId="0" fillId="0" borderId="3" xfId="0" applyNumberFormat="1" applyBorder="1"/>
    <xf numFmtId="3" fontId="1" fillId="0" borderId="3" xfId="0" applyNumberFormat="1" applyFont="1" applyBorder="1"/>
    <xf numFmtId="3" fontId="2" fillId="0" borderId="5" xfId="0" applyNumberFormat="1" applyFont="1" applyBorder="1" applyAlignment="1">
      <alignment horizontal="center" vertical="top"/>
    </xf>
    <xf numFmtId="3" fontId="2" fillId="0" borderId="6" xfId="0" applyNumberFormat="1" applyFont="1" applyBorder="1" applyAlignment="1">
      <alignment horizontal="center" vertical="top"/>
    </xf>
    <xf numFmtId="3" fontId="1" fillId="0" borderId="8" xfId="0" applyNumberFormat="1" applyFont="1" applyBorder="1"/>
    <xf numFmtId="3" fontId="1" fillId="0" borderId="9" xfId="0" applyNumberFormat="1" applyFont="1" applyBorder="1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3" fontId="3" fillId="2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3" fontId="3" fillId="3" borderId="1" xfId="0" applyNumberFormat="1" applyFont="1" applyFill="1" applyBorder="1" applyAlignment="1">
      <alignment horizontal="right"/>
    </xf>
    <xf numFmtId="3" fontId="0" fillId="2" borderId="1" xfId="0" applyNumberFormat="1" applyFill="1" applyBorder="1" applyAlignment="1">
      <alignment horizontal="right"/>
    </xf>
    <xf numFmtId="3" fontId="0" fillId="3" borderId="1" xfId="0" applyNumberFormat="1" applyFill="1" applyBorder="1" applyAlignment="1">
      <alignment horizontal="right"/>
    </xf>
    <xf numFmtId="2" fontId="0" fillId="3" borderId="1" xfId="0" applyNumberFormat="1" applyFill="1" applyBorder="1" applyAlignment="1">
      <alignment horizontal="right"/>
    </xf>
    <xf numFmtId="2" fontId="0" fillId="0" borderId="1" xfId="0" applyNumberFormat="1" applyBorder="1"/>
    <xf numFmtId="2" fontId="3" fillId="2" borderId="1" xfId="0" applyNumberFormat="1" applyFont="1" applyFill="1" applyBorder="1" applyAlignment="1">
      <alignment horizontal="right"/>
    </xf>
    <xf numFmtId="3" fontId="0" fillId="2" borderId="1" xfId="0" applyNumberFormat="1" applyFill="1" applyBorder="1"/>
    <xf numFmtId="3" fontId="0" fillId="3" borderId="1" xfId="0" applyNumberFormat="1" applyFill="1" applyBorder="1"/>
    <xf numFmtId="2" fontId="0" fillId="2" borderId="1" xfId="0" applyNumberFormat="1" applyFill="1" applyBorder="1"/>
    <xf numFmtId="10" fontId="0" fillId="0" borderId="1" xfId="0" applyNumberFormat="1" applyBorder="1"/>
    <xf numFmtId="9" fontId="0" fillId="0" borderId="1" xfId="0" applyNumberFormat="1" applyBorder="1"/>
    <xf numFmtId="0" fontId="1" fillId="0" borderId="1" xfId="0" applyFont="1" applyBorder="1" applyAlignment="1">
      <alignment horizontal="center"/>
    </xf>
    <xf numFmtId="17" fontId="1" fillId="0" borderId="1" xfId="0" applyNumberFormat="1" applyFont="1" applyBorder="1" applyAlignment="1">
      <alignment horizontal="center"/>
    </xf>
    <xf numFmtId="17" fontId="7" fillId="0" borderId="1" xfId="0" applyNumberFormat="1" applyFont="1" applyBorder="1" applyAlignment="1">
      <alignment horizontal="center"/>
    </xf>
    <xf numFmtId="2" fontId="0" fillId="0" borderId="0" xfId="0" applyNumberFormat="1"/>
    <xf numFmtId="10" fontId="0" fillId="0" borderId="0" xfId="0" applyNumberFormat="1"/>
    <xf numFmtId="17" fontId="1" fillId="0" borderId="1" xfId="0" applyNumberFormat="1" applyFont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23">
    <dxf>
      <numFmt numFmtId="3" formatCode="#,##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84F0A-9036-4086-9456-B068E1426D6D}" name="Table1" displayName="Table1" ref="A1:N28" totalsRowShown="0" headerRowDxfId="22" headerRowBorderDxfId="21" tableBorderDxfId="20" totalsRowBorderDxfId="19">
  <tableColumns count="14">
    <tableColumn id="1" xr3:uid="{182622A5-F089-4287-9EEC-B0577C731AD1}" name="Particulars" dataDxfId="18"/>
    <tableColumn id="2" xr3:uid="{FBA30A55-69BD-41DC-9B1C-6334F17C9EE6}" name="Mar-15"/>
    <tableColumn id="3" xr3:uid="{7E90CD1E-06E9-4685-9CB9-1E2C8E9963F0}" name="Mar-16"/>
    <tableColumn id="4" xr3:uid="{A08A3538-C255-4219-92B0-F7423D8C183C}" name="Mar-17"/>
    <tableColumn id="5" xr3:uid="{08C06B3E-F3CF-4C8D-A00F-EB344605F479}" name="Mar-18"/>
    <tableColumn id="6" xr3:uid="{3E3F675C-BAD8-49D9-BF39-CB750432CADB}" name="Mar-19"/>
    <tableColumn id="7" xr3:uid="{AD956AAB-1A64-4D8B-BDF8-FFC432BC7234}" name="Mar-20"/>
    <tableColumn id="8" xr3:uid="{5FBFEFAC-BE5D-4CF2-8BD6-25C9267A535F}" name="Mar-21"/>
    <tableColumn id="9" xr3:uid="{8B4CB388-803A-4769-ACB2-36B9AC2993D3}" name="Mar-22"/>
    <tableColumn id="10" xr3:uid="{495FBE9F-CDD9-4767-BF04-12E2591B0CE0}" name="Mar-23"/>
    <tableColumn id="11" xr3:uid="{7B65C398-0BE0-4A40-92B1-52BA0546654E}" name="Mar-24"/>
    <tableColumn id="12" xr3:uid="{13F69B4D-8FB5-478E-8F8A-0BC25EDD8A48}" name="Mar-25"/>
    <tableColumn id="13" xr3:uid="{BD854E61-0D97-4880-AC44-AC9615D5CD33}" name="Mar-26"/>
    <tableColumn id="14" xr3:uid="{A072649D-5272-494C-930A-54E8B5F3ED11}" name="TTM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DF6917-148A-4D46-8161-3924AFDCF24F}" name="Table2" displayName="Table2" ref="A1:M35" totalsRowShown="0" headerRowDxfId="16" headerRowBorderDxfId="15" tableBorderDxfId="14" totalsRowBorderDxfId="13">
  <tableColumns count="13">
    <tableColumn id="1" xr3:uid="{E62C4D11-8551-4081-8D67-F840E6697220}" name="Particulars" dataDxfId="12"/>
    <tableColumn id="2" xr3:uid="{CDBC214B-D017-4C48-AC38-44079EC3DBC8}" name="Mar 2015" dataDxfId="11"/>
    <tableColumn id="3" xr3:uid="{A4F865C9-0DD0-40EC-8560-9384F909F20B}" name="Mar 2016" dataDxfId="10"/>
    <tableColumn id="4" xr3:uid="{F9535047-34FE-420E-ADA0-95FDAB71CE62}" name="Mar 2017" dataDxfId="9"/>
    <tableColumn id="5" xr3:uid="{EC168FDB-63EB-4870-B308-6085DD101493}" name="Mar 2018" dataDxfId="8"/>
    <tableColumn id="6" xr3:uid="{93C6FEC2-59AD-4840-973C-3DAE33BB86F7}" name="Mar 2019" dataDxfId="7"/>
    <tableColumn id="7" xr3:uid="{D6808DDE-E8EA-43B2-A5D5-C3276077465C}" name="Mar 2020" dataDxfId="6"/>
    <tableColumn id="8" xr3:uid="{1559ED2D-C6BB-4726-99E9-7DFD1F58FE2E}" name="Mar 2021" dataDxfId="5"/>
    <tableColumn id="9" xr3:uid="{F5AB0042-0217-465D-96C5-BF4FA691898B}" name="Mar 2022" dataDxfId="4"/>
    <tableColumn id="10" xr3:uid="{7AF8C002-02DF-4993-ADEE-F52B03BD15D4}" name="Mar 2023" dataDxfId="3"/>
    <tableColumn id="11" xr3:uid="{57C0EA63-A995-40AA-A382-135F57AD6D27}" name="Mar 2024" dataDxfId="2"/>
    <tableColumn id="12" xr3:uid="{6C578A88-0BA0-42A5-86E6-4254D7BF0B6C}" name="Mar 2025" dataDxfId="1"/>
    <tableColumn id="13" xr3:uid="{D6D997D4-E79B-4579-9E66-DF67DFEA5647}" name="Mar 20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1ACF7-5785-4A34-B30D-87ABF1F672BF}">
  <dimension ref="A1:N28"/>
  <sheetViews>
    <sheetView workbookViewId="0">
      <selection activeCell="B20" sqref="B20"/>
    </sheetView>
  </sheetViews>
  <sheetFormatPr defaultRowHeight="14.4" x14ac:dyDescent="0.3"/>
  <cols>
    <col min="1" max="1" width="20.21875" customWidth="1"/>
    <col min="2" max="2" width="14.44140625" customWidth="1"/>
  </cols>
  <sheetData>
    <row r="1" spans="1:14" x14ac:dyDescent="0.3">
      <c r="A1" s="14" t="s">
        <v>54</v>
      </c>
      <c r="B1" s="15" t="s">
        <v>70</v>
      </c>
      <c r="C1" s="15" t="s">
        <v>71</v>
      </c>
      <c r="D1" s="15" t="s">
        <v>72</v>
      </c>
      <c r="E1" s="15" t="s">
        <v>73</v>
      </c>
      <c r="F1" s="15" t="s">
        <v>74</v>
      </c>
      <c r="G1" s="15" t="s">
        <v>75</v>
      </c>
      <c r="H1" s="15" t="s">
        <v>76</v>
      </c>
      <c r="I1" s="15" t="s">
        <v>77</v>
      </c>
      <c r="J1" s="15" t="s">
        <v>78</v>
      </c>
      <c r="K1" s="15" t="s">
        <v>79</v>
      </c>
      <c r="L1" s="15" t="s">
        <v>80</v>
      </c>
      <c r="M1" s="15" t="s">
        <v>81</v>
      </c>
      <c r="N1" s="16" t="s">
        <v>1</v>
      </c>
    </row>
    <row r="2" spans="1:14" x14ac:dyDescent="0.3">
      <c r="A2" s="8" t="s">
        <v>82</v>
      </c>
      <c r="B2" s="3">
        <v>12103</v>
      </c>
      <c r="C2" s="3">
        <v>13772</v>
      </c>
      <c r="D2" s="3">
        <v>14910</v>
      </c>
      <c r="E2" s="3">
        <v>16463</v>
      </c>
      <c r="F2" s="3">
        <v>19564</v>
      </c>
      <c r="G2" s="3">
        <v>23099</v>
      </c>
      <c r="H2" s="3">
        <v>24775</v>
      </c>
      <c r="I2" s="3">
        <v>23455</v>
      </c>
      <c r="J2" s="3">
        <v>24855</v>
      </c>
      <c r="K2" s="3">
        <v>29002</v>
      </c>
      <c r="L2" s="3">
        <v>31724</v>
      </c>
      <c r="M2" s="3">
        <v>33653</v>
      </c>
      <c r="N2" s="9">
        <v>34935</v>
      </c>
    </row>
    <row r="3" spans="1:14" x14ac:dyDescent="0.3">
      <c r="A3" s="8" t="s">
        <v>2</v>
      </c>
      <c r="B3" s="4">
        <v>0.49630000000000002</v>
      </c>
      <c r="C3" s="4">
        <v>0.13780000000000001</v>
      </c>
      <c r="D3" s="4">
        <v>8.2600000000000007E-2</v>
      </c>
      <c r="E3" s="4">
        <v>0.1042</v>
      </c>
      <c r="F3" s="4">
        <v>0.1883</v>
      </c>
      <c r="G3" s="4">
        <v>0.1807</v>
      </c>
      <c r="H3" s="4">
        <v>7.2599999999999998E-2</v>
      </c>
      <c r="I3" s="4">
        <v>-5.3199999999999997E-2</v>
      </c>
      <c r="J3" s="4">
        <v>5.9700000000000003E-2</v>
      </c>
      <c r="K3" s="4">
        <v>0.1668</v>
      </c>
      <c r="L3" s="4">
        <v>9.3899999999999997E-2</v>
      </c>
      <c r="M3" s="4">
        <v>6.08E-2</v>
      </c>
      <c r="N3" s="10"/>
    </row>
    <row r="4" spans="1:14" x14ac:dyDescent="0.3">
      <c r="A4" s="8" t="s">
        <v>83</v>
      </c>
      <c r="B4" s="3">
        <v>9524</v>
      </c>
      <c r="C4" s="3">
        <v>10579</v>
      </c>
      <c r="D4" s="3">
        <v>11469</v>
      </c>
      <c r="E4" s="3">
        <v>12691</v>
      </c>
      <c r="F4" s="3">
        <v>15612</v>
      </c>
      <c r="G4" s="3">
        <v>18249</v>
      </c>
      <c r="H4" s="3">
        <v>19497</v>
      </c>
      <c r="I4" s="3">
        <v>19060</v>
      </c>
      <c r="J4" s="3">
        <v>21148</v>
      </c>
      <c r="K4" s="3">
        <v>23176</v>
      </c>
      <c r="L4" s="3">
        <v>25164</v>
      </c>
      <c r="M4" s="3">
        <v>26783</v>
      </c>
      <c r="N4" s="9">
        <v>27854</v>
      </c>
    </row>
    <row r="5" spans="1:14" x14ac:dyDescent="0.3">
      <c r="A5" s="8" t="s">
        <v>24</v>
      </c>
      <c r="B5" s="4">
        <v>0.45290000000000002</v>
      </c>
      <c r="C5" s="4">
        <v>0.44740000000000002</v>
      </c>
      <c r="D5" s="4">
        <v>0.43159999999999998</v>
      </c>
      <c r="E5" s="4">
        <v>0.41020000000000001</v>
      </c>
      <c r="F5" s="4">
        <v>0.44540000000000002</v>
      </c>
      <c r="G5" s="4">
        <v>0.42149999999999999</v>
      </c>
      <c r="H5" s="4">
        <v>0.3997</v>
      </c>
      <c r="I5" s="4">
        <v>0.43230000000000002</v>
      </c>
      <c r="J5" s="4">
        <v>0.45440000000000003</v>
      </c>
      <c r="K5" s="4">
        <v>0.43459999999999999</v>
      </c>
      <c r="L5" s="4">
        <v>0.41060000000000002</v>
      </c>
      <c r="M5" s="4">
        <v>0.40079999999999999</v>
      </c>
      <c r="N5" s="10"/>
    </row>
    <row r="6" spans="1:14" x14ac:dyDescent="0.3">
      <c r="A6" s="8" t="s">
        <v>3</v>
      </c>
      <c r="B6" s="5">
        <v>5835</v>
      </c>
      <c r="C6" s="5">
        <v>6255</v>
      </c>
      <c r="D6" s="5">
        <v>6743</v>
      </c>
      <c r="E6" s="5">
        <v>7235</v>
      </c>
      <c r="F6" s="5">
        <v>9388</v>
      </c>
      <c r="G6" s="5">
        <v>9837</v>
      </c>
      <c r="H6" s="5">
        <v>10633</v>
      </c>
      <c r="I6" s="5">
        <v>9324</v>
      </c>
      <c r="J6" s="5">
        <v>11703</v>
      </c>
      <c r="K6" s="5">
        <v>13549</v>
      </c>
      <c r="L6" s="5">
        <v>13624</v>
      </c>
      <c r="M6" s="5">
        <v>13783</v>
      </c>
      <c r="N6" s="10"/>
    </row>
    <row r="7" spans="1:14" x14ac:dyDescent="0.3">
      <c r="A7" s="8" t="s">
        <v>4</v>
      </c>
      <c r="B7" s="5">
        <v>-329</v>
      </c>
      <c r="C7" s="5">
        <v>-93</v>
      </c>
      <c r="D7" s="5">
        <v>-309</v>
      </c>
      <c r="E7" s="5">
        <v>-483</v>
      </c>
      <c r="F7" s="5">
        <v>-676</v>
      </c>
      <c r="G7" s="5">
        <v>-102</v>
      </c>
      <c r="H7" s="5">
        <v>-730</v>
      </c>
      <c r="I7" s="5">
        <v>817</v>
      </c>
      <c r="J7" s="5">
        <v>-410</v>
      </c>
      <c r="K7" s="5">
        <v>-946</v>
      </c>
      <c r="L7" s="5">
        <v>-598</v>
      </c>
      <c r="M7" s="5">
        <v>-295</v>
      </c>
      <c r="N7" s="10"/>
    </row>
    <row r="8" spans="1:14" x14ac:dyDescent="0.3">
      <c r="A8" s="8" t="s">
        <v>5</v>
      </c>
      <c r="B8" s="4">
        <v>7.4099999999999999E-2</v>
      </c>
      <c r="C8" s="4">
        <v>7.3300000000000004E-2</v>
      </c>
      <c r="D8" s="4">
        <v>7.2499999999999995E-2</v>
      </c>
      <c r="E8" s="4">
        <v>7.3899999999999993E-2</v>
      </c>
      <c r="F8" s="4">
        <v>7.7200000000000005E-2</v>
      </c>
      <c r="G8" s="4">
        <v>6.7199999999999996E-2</v>
      </c>
      <c r="H8" s="4">
        <v>6.8599999999999994E-2</v>
      </c>
      <c r="I8" s="4">
        <v>7.1800000000000003E-2</v>
      </c>
      <c r="J8" s="4">
        <v>7.5200000000000003E-2</v>
      </c>
      <c r="K8" s="4">
        <v>6.7900000000000002E-2</v>
      </c>
      <c r="L8" s="4">
        <v>7.2900000000000006E-2</v>
      </c>
      <c r="M8" s="4">
        <v>7.6899999999999996E-2</v>
      </c>
      <c r="N8" s="10"/>
    </row>
    <row r="9" spans="1:14" x14ac:dyDescent="0.3">
      <c r="A9" s="8" t="s">
        <v>6</v>
      </c>
      <c r="B9" s="4">
        <v>0.1076</v>
      </c>
      <c r="C9" s="4">
        <v>0.112</v>
      </c>
      <c r="D9" s="4">
        <v>0.1186</v>
      </c>
      <c r="E9" s="4">
        <v>0.1295</v>
      </c>
      <c r="F9" s="4">
        <v>0.1321</v>
      </c>
      <c r="G9" s="4">
        <v>0.1394</v>
      </c>
      <c r="H9" s="4">
        <v>0.14269999999999999</v>
      </c>
      <c r="I9" s="4">
        <v>0.1472</v>
      </c>
      <c r="J9" s="4">
        <v>0.14180000000000001</v>
      </c>
      <c r="K9" s="4">
        <v>0.1353</v>
      </c>
      <c r="L9" s="4">
        <v>0.14119999999999999</v>
      </c>
      <c r="M9" s="4">
        <v>0.15429999999999999</v>
      </c>
      <c r="N9" s="10"/>
    </row>
    <row r="10" spans="1:14" x14ac:dyDescent="0.3">
      <c r="A10" s="8" t="s">
        <v>7</v>
      </c>
      <c r="B10" s="4">
        <v>0.15029999999999999</v>
      </c>
      <c r="C10" s="4">
        <v>0.13539999999999999</v>
      </c>
      <c r="D10" s="4">
        <v>0.14660000000000001</v>
      </c>
      <c r="E10" s="4">
        <v>0.15740000000000001</v>
      </c>
      <c r="F10" s="4">
        <v>0.14330000000000001</v>
      </c>
      <c r="G10" s="4">
        <v>0.16200000000000001</v>
      </c>
      <c r="H10" s="4">
        <v>0.1759</v>
      </c>
      <c r="I10" s="4">
        <v>0.1613</v>
      </c>
      <c r="J10" s="4">
        <v>0.17949999999999999</v>
      </c>
      <c r="K10" s="4">
        <v>0.16139999999999999</v>
      </c>
      <c r="L10" s="4">
        <v>0.16850000000000001</v>
      </c>
      <c r="M10" s="4">
        <v>0.1638</v>
      </c>
      <c r="N10" s="10"/>
    </row>
    <row r="11" spans="1:14" x14ac:dyDescent="0.3">
      <c r="A11" s="8" t="s">
        <v>8</v>
      </c>
      <c r="B11" s="3">
        <v>2579</v>
      </c>
      <c r="C11" s="3">
        <v>3193</v>
      </c>
      <c r="D11" s="3">
        <v>3441</v>
      </c>
      <c r="E11" s="3">
        <v>3772</v>
      </c>
      <c r="F11" s="3">
        <v>3952</v>
      </c>
      <c r="G11" s="3">
        <v>4849</v>
      </c>
      <c r="H11" s="3">
        <v>5278</v>
      </c>
      <c r="I11" s="3">
        <v>4396</v>
      </c>
      <c r="J11" s="3">
        <v>3707</v>
      </c>
      <c r="K11" s="3">
        <v>5826</v>
      </c>
      <c r="L11" s="3">
        <v>6560</v>
      </c>
      <c r="M11" s="3">
        <v>6870</v>
      </c>
      <c r="N11" s="9">
        <v>7081</v>
      </c>
    </row>
    <row r="12" spans="1:14" x14ac:dyDescent="0.3">
      <c r="A12" s="8" t="s">
        <v>9</v>
      </c>
      <c r="B12" s="6">
        <v>0.21</v>
      </c>
      <c r="C12" s="6">
        <v>0.23</v>
      </c>
      <c r="D12" s="6">
        <v>0.23</v>
      </c>
      <c r="E12" s="6">
        <v>0.23</v>
      </c>
      <c r="F12" s="6">
        <v>0.2</v>
      </c>
      <c r="G12" s="6">
        <v>0.21</v>
      </c>
      <c r="H12" s="6">
        <v>0.21</v>
      </c>
      <c r="I12" s="6">
        <v>0.19</v>
      </c>
      <c r="J12" s="6">
        <v>0.15</v>
      </c>
      <c r="K12" s="6">
        <v>0.2</v>
      </c>
      <c r="L12" s="6">
        <v>0.21</v>
      </c>
      <c r="M12" s="6">
        <v>0.2</v>
      </c>
      <c r="N12" s="11">
        <v>0.2</v>
      </c>
    </row>
    <row r="13" spans="1:14" x14ac:dyDescent="0.3">
      <c r="A13" s="8" t="s">
        <v>84</v>
      </c>
      <c r="B13" s="3">
        <v>81</v>
      </c>
      <c r="C13" s="3">
        <v>200</v>
      </c>
      <c r="D13" s="3">
        <v>115</v>
      </c>
      <c r="E13" s="3">
        <v>105</v>
      </c>
      <c r="F13" s="3">
        <v>70</v>
      </c>
      <c r="G13" s="3">
        <v>166</v>
      </c>
      <c r="H13" s="3">
        <v>3195</v>
      </c>
      <c r="I13" s="3">
        <v>152</v>
      </c>
      <c r="J13" s="3">
        <v>291</v>
      </c>
      <c r="K13" s="3">
        <v>366</v>
      </c>
      <c r="L13" s="3">
        <v>613</v>
      </c>
      <c r="M13" s="3">
        <v>404</v>
      </c>
      <c r="N13" s="9">
        <v>586</v>
      </c>
    </row>
    <row r="14" spans="1:14" x14ac:dyDescent="0.3">
      <c r="A14" s="8" t="s">
        <v>10</v>
      </c>
      <c r="B14" s="5">
        <v>-16</v>
      </c>
      <c r="C14" s="5">
        <v>-5</v>
      </c>
      <c r="D14" s="5">
        <v>-6</v>
      </c>
      <c r="E14" s="5">
        <v>0</v>
      </c>
      <c r="F14" s="5">
        <v>-88</v>
      </c>
      <c r="G14" s="5">
        <v>-26</v>
      </c>
      <c r="H14" s="5">
        <v>2815</v>
      </c>
      <c r="I14" s="5">
        <v>-139</v>
      </c>
      <c r="J14" s="5">
        <v>13</v>
      </c>
      <c r="K14" s="5">
        <v>-168</v>
      </c>
      <c r="L14" s="5">
        <v>25</v>
      </c>
      <c r="M14" s="5">
        <v>-88</v>
      </c>
      <c r="N14" s="10"/>
    </row>
    <row r="15" spans="1:14" x14ac:dyDescent="0.3">
      <c r="A15" s="8" t="s">
        <v>11</v>
      </c>
      <c r="B15" s="5">
        <v>97</v>
      </c>
      <c r="C15" s="5">
        <v>205</v>
      </c>
      <c r="D15" s="5">
        <v>121</v>
      </c>
      <c r="E15" s="5">
        <v>105</v>
      </c>
      <c r="F15" s="5">
        <v>158</v>
      </c>
      <c r="G15" s="5">
        <v>192</v>
      </c>
      <c r="H15" s="5">
        <v>381</v>
      </c>
      <c r="I15" s="5">
        <v>291</v>
      </c>
      <c r="J15" s="5">
        <v>277</v>
      </c>
      <c r="K15" s="5">
        <v>534</v>
      </c>
      <c r="L15" s="5">
        <v>588</v>
      </c>
      <c r="M15" s="5">
        <v>492</v>
      </c>
      <c r="N15" s="10"/>
    </row>
    <row r="16" spans="1:14" x14ac:dyDescent="0.3">
      <c r="A16" s="8" t="s">
        <v>12</v>
      </c>
      <c r="B16" s="5">
        <v>160</v>
      </c>
      <c r="C16" s="5">
        <v>257</v>
      </c>
      <c r="D16" s="5">
        <v>67</v>
      </c>
      <c r="E16" s="5">
        <v>78</v>
      </c>
      <c r="F16" s="5">
        <v>263</v>
      </c>
      <c r="G16" s="5">
        <v>305</v>
      </c>
      <c r="H16" s="5">
        <v>74</v>
      </c>
      <c r="I16" s="5">
        <v>49</v>
      </c>
      <c r="J16" s="5">
        <v>140</v>
      </c>
      <c r="K16" s="5">
        <v>290</v>
      </c>
      <c r="L16" s="5">
        <v>457</v>
      </c>
      <c r="M16" s="5">
        <v>384</v>
      </c>
      <c r="N16" s="12">
        <v>388</v>
      </c>
    </row>
    <row r="17" spans="1:14" x14ac:dyDescent="0.3">
      <c r="A17" s="8" t="s">
        <v>13</v>
      </c>
      <c r="B17" s="5">
        <v>333</v>
      </c>
      <c r="C17" s="5">
        <v>392</v>
      </c>
      <c r="D17" s="5">
        <v>428</v>
      </c>
      <c r="E17" s="5">
        <v>558</v>
      </c>
      <c r="F17" s="5">
        <v>668</v>
      </c>
      <c r="G17" s="5">
        <v>967</v>
      </c>
      <c r="H17" s="5">
        <v>1055</v>
      </c>
      <c r="I17" s="5">
        <v>1127</v>
      </c>
      <c r="J17" s="5">
        <v>1245</v>
      </c>
      <c r="K17" s="5">
        <v>1522</v>
      </c>
      <c r="L17" s="5">
        <v>1649</v>
      </c>
      <c r="M17" s="5">
        <v>1778</v>
      </c>
      <c r="N17" s="12">
        <v>1859</v>
      </c>
    </row>
    <row r="18" spans="1:14" x14ac:dyDescent="0.3">
      <c r="A18" s="8" t="s">
        <v>14</v>
      </c>
      <c r="B18" s="3">
        <v>2168</v>
      </c>
      <c r="C18" s="3">
        <v>2744</v>
      </c>
      <c r="D18" s="3">
        <v>3061</v>
      </c>
      <c r="E18" s="3">
        <v>3241</v>
      </c>
      <c r="F18" s="3">
        <v>3091</v>
      </c>
      <c r="G18" s="3">
        <v>3743</v>
      </c>
      <c r="H18" s="3">
        <v>7344</v>
      </c>
      <c r="I18" s="3">
        <v>3373</v>
      </c>
      <c r="J18" s="3">
        <v>2612</v>
      </c>
      <c r="K18" s="3">
        <v>4380</v>
      </c>
      <c r="L18" s="3">
        <v>5066</v>
      </c>
      <c r="M18" s="3">
        <v>5112</v>
      </c>
      <c r="N18" s="9">
        <v>5420</v>
      </c>
    </row>
    <row r="19" spans="1:14" x14ac:dyDescent="0.3">
      <c r="A19" s="8" t="s">
        <v>15</v>
      </c>
      <c r="B19" s="6">
        <v>0.28000000000000003</v>
      </c>
      <c r="C19" s="6">
        <v>0.26</v>
      </c>
      <c r="D19" s="6">
        <v>0.25</v>
      </c>
      <c r="E19" s="6">
        <v>0.25</v>
      </c>
      <c r="F19" s="6">
        <v>0.24</v>
      </c>
      <c r="G19" s="6">
        <v>0.24</v>
      </c>
      <c r="H19" s="6">
        <v>0.27</v>
      </c>
      <c r="I19" s="6">
        <v>0.22</v>
      </c>
      <c r="J19" s="6">
        <v>0.26</v>
      </c>
      <c r="K19" s="6">
        <v>0.28000000000000003</v>
      </c>
      <c r="L19" s="6">
        <v>0.31</v>
      </c>
      <c r="M19" s="6">
        <v>0.31</v>
      </c>
      <c r="N19" s="10"/>
    </row>
    <row r="20" spans="1:14" x14ac:dyDescent="0.3">
      <c r="A20" s="8" t="s">
        <v>85</v>
      </c>
      <c r="B20" s="3">
        <v>1571</v>
      </c>
      <c r="C20" s="3">
        <v>2024</v>
      </c>
      <c r="D20" s="3">
        <v>2301</v>
      </c>
      <c r="E20" s="3">
        <v>2423</v>
      </c>
      <c r="F20" s="3">
        <v>2364</v>
      </c>
      <c r="G20" s="3">
        <v>2844</v>
      </c>
      <c r="H20" s="3">
        <v>5334</v>
      </c>
      <c r="I20" s="3">
        <v>2647</v>
      </c>
      <c r="J20" s="3">
        <v>1928</v>
      </c>
      <c r="K20" s="3">
        <v>3169</v>
      </c>
      <c r="L20" s="3">
        <v>3484</v>
      </c>
      <c r="M20" s="3">
        <v>3503</v>
      </c>
      <c r="N20" s="9">
        <v>3711</v>
      </c>
    </row>
    <row r="21" spans="1:14" x14ac:dyDescent="0.3">
      <c r="A21" s="8" t="s">
        <v>16</v>
      </c>
      <c r="B21" s="5">
        <v>5</v>
      </c>
      <c r="C21" s="5">
        <v>2</v>
      </c>
      <c r="D21" s="5">
        <v>0</v>
      </c>
      <c r="E21" s="5">
        <v>0</v>
      </c>
      <c r="F21" s="5">
        <v>0</v>
      </c>
      <c r="G21" s="5">
        <v>1</v>
      </c>
      <c r="H21" s="5">
        <v>1</v>
      </c>
      <c r="I21" s="5">
        <v>1</v>
      </c>
      <c r="J21" s="5">
        <v>0</v>
      </c>
      <c r="K21" s="5">
        <v>4</v>
      </c>
      <c r="L21" s="5">
        <v>2</v>
      </c>
      <c r="M21" s="5">
        <v>2</v>
      </c>
      <c r="N21" s="10"/>
    </row>
    <row r="22" spans="1:14" x14ac:dyDescent="0.3">
      <c r="A22" s="8" t="s">
        <v>17</v>
      </c>
      <c r="B22" s="5">
        <v>-11</v>
      </c>
      <c r="C22" s="5">
        <v>-4</v>
      </c>
      <c r="D22" s="5">
        <v>-5</v>
      </c>
      <c r="E22" s="5">
        <v>0</v>
      </c>
      <c r="F22" s="5">
        <v>-66</v>
      </c>
      <c r="G22" s="5">
        <v>-20</v>
      </c>
      <c r="H22" s="5">
        <v>1925</v>
      </c>
      <c r="I22" s="5">
        <v>-109</v>
      </c>
      <c r="J22" s="5">
        <v>8</v>
      </c>
      <c r="K22" s="5">
        <v>-100</v>
      </c>
      <c r="L22" s="5">
        <v>33</v>
      </c>
      <c r="M22" s="5">
        <v>-58</v>
      </c>
      <c r="N22" s="10"/>
    </row>
    <row r="23" spans="1:14" x14ac:dyDescent="0.3">
      <c r="A23" s="8" t="s">
        <v>18</v>
      </c>
      <c r="B23" s="5">
        <v>1583</v>
      </c>
      <c r="C23" s="5">
        <v>2027</v>
      </c>
      <c r="D23" s="5">
        <v>2306</v>
      </c>
      <c r="E23" s="5">
        <v>2423</v>
      </c>
      <c r="F23" s="5">
        <v>2430</v>
      </c>
      <c r="G23" s="5">
        <v>2863</v>
      </c>
      <c r="H23" s="5">
        <v>3409</v>
      </c>
      <c r="I23" s="5">
        <v>2756</v>
      </c>
      <c r="J23" s="5">
        <v>1920</v>
      </c>
      <c r="K23" s="5">
        <v>3269</v>
      </c>
      <c r="L23" s="5">
        <v>3451</v>
      </c>
      <c r="M23" s="5">
        <v>3561</v>
      </c>
      <c r="N23" s="10"/>
    </row>
    <row r="24" spans="1:14" x14ac:dyDescent="0.3">
      <c r="A24" s="8" t="s">
        <v>19</v>
      </c>
      <c r="B24" s="5">
        <v>1587</v>
      </c>
      <c r="C24" s="5">
        <v>2029</v>
      </c>
      <c r="D24" s="5">
        <v>2306</v>
      </c>
      <c r="E24" s="5">
        <v>2423</v>
      </c>
      <c r="F24" s="5">
        <v>2431</v>
      </c>
      <c r="G24" s="5">
        <v>2865</v>
      </c>
      <c r="H24" s="5">
        <v>3410</v>
      </c>
      <c r="I24" s="5">
        <v>2757</v>
      </c>
      <c r="J24" s="5">
        <v>1920</v>
      </c>
      <c r="K24" s="5">
        <v>3273</v>
      </c>
      <c r="L24" s="5">
        <v>3453</v>
      </c>
      <c r="M24" s="5">
        <v>3563</v>
      </c>
      <c r="N24" s="10"/>
    </row>
    <row r="25" spans="1:14" x14ac:dyDescent="0.3">
      <c r="A25" s="8" t="s">
        <v>20</v>
      </c>
      <c r="B25" s="5">
        <v>1576</v>
      </c>
      <c r="C25" s="5">
        <v>2025</v>
      </c>
      <c r="D25" s="5">
        <v>2302</v>
      </c>
      <c r="E25" s="5">
        <v>2423</v>
      </c>
      <c r="F25" s="5">
        <v>2365</v>
      </c>
      <c r="G25" s="5">
        <v>2845</v>
      </c>
      <c r="H25" s="5">
        <v>5335</v>
      </c>
      <c r="I25" s="5">
        <v>2648</v>
      </c>
      <c r="J25" s="5">
        <v>1928</v>
      </c>
      <c r="K25" s="5">
        <v>3173</v>
      </c>
      <c r="L25" s="5">
        <v>3486</v>
      </c>
      <c r="M25" s="5">
        <v>3505</v>
      </c>
      <c r="N25" s="10"/>
    </row>
    <row r="26" spans="1:14" x14ac:dyDescent="0.3">
      <c r="A26" s="8" t="s">
        <v>21</v>
      </c>
      <c r="B26" s="6">
        <v>0.35</v>
      </c>
      <c r="C26" s="6">
        <v>0.28000000000000003</v>
      </c>
      <c r="D26" s="6">
        <v>0.14000000000000001</v>
      </c>
      <c r="E26" s="6">
        <v>0.05</v>
      </c>
      <c r="F26" s="6">
        <v>0</v>
      </c>
      <c r="G26" s="6">
        <v>0.18</v>
      </c>
      <c r="H26" s="6">
        <v>0.19</v>
      </c>
      <c r="I26" s="6">
        <v>-0.19</v>
      </c>
      <c r="J26" s="6">
        <v>-0.3</v>
      </c>
      <c r="K26" s="6">
        <v>0.7</v>
      </c>
      <c r="L26" s="6">
        <v>0.06</v>
      </c>
      <c r="M26" s="6">
        <v>0.03</v>
      </c>
      <c r="N26" s="10"/>
    </row>
    <row r="27" spans="1:14" x14ac:dyDescent="0.3">
      <c r="A27" s="8" t="s">
        <v>22</v>
      </c>
      <c r="B27" s="7">
        <v>26.98</v>
      </c>
      <c r="C27" s="7">
        <v>34.61</v>
      </c>
      <c r="D27" s="7">
        <v>39.29</v>
      </c>
      <c r="E27" s="7">
        <v>41.36</v>
      </c>
      <c r="F27" s="7">
        <v>40.36</v>
      </c>
      <c r="G27" s="7">
        <v>48.56</v>
      </c>
      <c r="H27" s="7">
        <v>91.05</v>
      </c>
      <c r="I27" s="7">
        <v>45.2</v>
      </c>
      <c r="J27" s="7">
        <v>32.9</v>
      </c>
      <c r="K27" s="7">
        <v>54.15</v>
      </c>
      <c r="L27" s="7">
        <v>60.02</v>
      </c>
      <c r="M27" s="7">
        <v>60.34</v>
      </c>
      <c r="N27" s="13">
        <v>64.09</v>
      </c>
    </row>
    <row r="28" spans="1:14" x14ac:dyDescent="0.3">
      <c r="A28" s="17" t="s">
        <v>23</v>
      </c>
      <c r="B28" s="18">
        <v>0.08</v>
      </c>
      <c r="C28" s="18">
        <v>7.0000000000000007E-2</v>
      </c>
      <c r="D28" s="18">
        <v>0.06</v>
      </c>
      <c r="E28" s="18">
        <v>0.06</v>
      </c>
      <c r="F28" s="18">
        <v>0.06</v>
      </c>
      <c r="G28" s="18">
        <v>0.06</v>
      </c>
      <c r="H28" s="18">
        <v>0.04</v>
      </c>
      <c r="I28" s="18">
        <v>0.2</v>
      </c>
      <c r="J28" s="18">
        <v>0.23</v>
      </c>
      <c r="K28" s="18">
        <v>0.08</v>
      </c>
      <c r="L28" s="18">
        <v>0</v>
      </c>
      <c r="M28" s="18">
        <v>7.0000000000000007E-2</v>
      </c>
      <c r="N28" s="1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D640-0440-42F1-ADAC-52555379A84B}">
  <dimension ref="A1:M35"/>
  <sheetViews>
    <sheetView tabSelected="1" topLeftCell="A8" workbookViewId="0">
      <selection activeCell="P22" sqref="P22"/>
    </sheetView>
  </sheetViews>
  <sheetFormatPr defaultRowHeight="14.4" x14ac:dyDescent="0.3"/>
  <cols>
    <col min="1" max="1" width="22.88671875" customWidth="1"/>
    <col min="2" max="13" width="10.33203125" customWidth="1"/>
  </cols>
  <sheetData>
    <row r="1" spans="1:13" x14ac:dyDescent="0.3">
      <c r="A1" s="14" t="s">
        <v>54</v>
      </c>
      <c r="B1" s="22" t="s">
        <v>0</v>
      </c>
      <c r="C1" s="22" t="s">
        <v>55</v>
      </c>
      <c r="D1" s="22" t="s">
        <v>56</v>
      </c>
      <c r="E1" s="22" t="s">
        <v>57</v>
      </c>
      <c r="F1" s="22" t="s">
        <v>58</v>
      </c>
      <c r="G1" s="22" t="s">
        <v>59</v>
      </c>
      <c r="H1" s="22" t="s">
        <v>60</v>
      </c>
      <c r="I1" s="22" t="s">
        <v>61</v>
      </c>
      <c r="J1" s="22" t="s">
        <v>62</v>
      </c>
      <c r="K1" s="22" t="s">
        <v>63</v>
      </c>
      <c r="L1" s="22" t="s">
        <v>64</v>
      </c>
      <c r="M1" s="23" t="s">
        <v>65</v>
      </c>
    </row>
    <row r="2" spans="1:13" x14ac:dyDescent="0.3">
      <c r="A2" s="8" t="s">
        <v>25</v>
      </c>
      <c r="B2" s="2">
        <v>29</v>
      </c>
      <c r="C2" s="2">
        <v>59</v>
      </c>
      <c r="D2" s="2">
        <v>59</v>
      </c>
      <c r="E2" s="2">
        <v>59</v>
      </c>
      <c r="F2" s="2">
        <v>59</v>
      </c>
      <c r="G2" s="2">
        <v>59</v>
      </c>
      <c r="H2" s="2">
        <v>59</v>
      </c>
      <c r="I2" s="2">
        <v>59</v>
      </c>
      <c r="J2" s="2">
        <v>59</v>
      </c>
      <c r="K2" s="2">
        <v>59</v>
      </c>
      <c r="L2" s="2">
        <v>58</v>
      </c>
      <c r="M2" s="20">
        <v>58</v>
      </c>
    </row>
    <row r="3" spans="1:13" x14ac:dyDescent="0.3">
      <c r="A3" s="8" t="s">
        <v>26</v>
      </c>
      <c r="B3" s="2">
        <v>5127</v>
      </c>
      <c r="C3" s="2">
        <v>7229</v>
      </c>
      <c r="D3" s="2">
        <v>9313</v>
      </c>
      <c r="E3" s="2">
        <v>11622</v>
      </c>
      <c r="F3" s="2">
        <v>13832</v>
      </c>
      <c r="G3" s="2">
        <v>16766</v>
      </c>
      <c r="H3" s="2">
        <v>21871</v>
      </c>
      <c r="I3" s="2">
        <v>24517</v>
      </c>
      <c r="J3" s="2">
        <v>26781</v>
      </c>
      <c r="K3" s="2">
        <v>29784</v>
      </c>
      <c r="L3" s="2">
        <v>32595</v>
      </c>
      <c r="M3" s="20">
        <v>37833</v>
      </c>
    </row>
    <row r="4" spans="1:13" x14ac:dyDescent="0.3">
      <c r="A4" s="8" t="s">
        <v>66</v>
      </c>
      <c r="B4" s="1">
        <v>4451</v>
      </c>
      <c r="C4" s="1">
        <v>5041</v>
      </c>
      <c r="D4" s="1">
        <v>3364</v>
      </c>
      <c r="E4" s="1">
        <v>4770</v>
      </c>
      <c r="F4" s="1">
        <v>6967</v>
      </c>
      <c r="G4" s="1">
        <v>5826</v>
      </c>
      <c r="H4" s="1">
        <v>5339</v>
      </c>
      <c r="I4" s="1">
        <v>2851</v>
      </c>
      <c r="J4" s="1">
        <v>5286</v>
      </c>
      <c r="K4" s="1">
        <v>6648</v>
      </c>
      <c r="L4" s="1">
        <v>8263</v>
      </c>
      <c r="M4" s="21">
        <v>8073</v>
      </c>
    </row>
    <row r="5" spans="1:13" x14ac:dyDescent="0.3">
      <c r="A5" s="8" t="s">
        <v>27</v>
      </c>
      <c r="B5" s="2">
        <v>1361</v>
      </c>
      <c r="C5" s="2">
        <v>743</v>
      </c>
      <c r="D5" s="2">
        <v>181</v>
      </c>
      <c r="E5" s="2">
        <v>451</v>
      </c>
      <c r="F5" s="2">
        <v>180</v>
      </c>
      <c r="G5" s="2">
        <v>0</v>
      </c>
      <c r="H5" s="2">
        <v>168</v>
      </c>
      <c r="I5" s="2">
        <v>249</v>
      </c>
      <c r="J5" s="2">
        <v>619</v>
      </c>
      <c r="K5" s="2">
        <v>2135</v>
      </c>
      <c r="L5" s="2">
        <v>1562</v>
      </c>
      <c r="M5" s="20">
        <v>803</v>
      </c>
    </row>
    <row r="6" spans="1:13" x14ac:dyDescent="0.3">
      <c r="A6" s="8" t="s">
        <v>28</v>
      </c>
      <c r="B6" s="2">
        <v>2502</v>
      </c>
      <c r="C6" s="2">
        <v>3673</v>
      </c>
      <c r="D6" s="2">
        <v>2903</v>
      </c>
      <c r="E6" s="2">
        <v>4031</v>
      </c>
      <c r="F6" s="2">
        <v>6573</v>
      </c>
      <c r="G6" s="2">
        <v>5422</v>
      </c>
      <c r="H6" s="2">
        <v>4804</v>
      </c>
      <c r="I6" s="2">
        <v>2124</v>
      </c>
      <c r="J6" s="2">
        <v>4243</v>
      </c>
      <c r="K6" s="2">
        <v>4180</v>
      </c>
      <c r="L6" s="2">
        <v>6380</v>
      </c>
      <c r="M6" s="20">
        <v>6873</v>
      </c>
    </row>
    <row r="7" spans="1:13" x14ac:dyDescent="0.3">
      <c r="A7" s="8" t="s">
        <v>29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264</v>
      </c>
      <c r="H7" s="2">
        <v>367</v>
      </c>
      <c r="I7" s="2">
        <v>478</v>
      </c>
      <c r="J7" s="2">
        <v>425</v>
      </c>
      <c r="K7" s="2">
        <v>332</v>
      </c>
      <c r="L7" s="2">
        <v>321</v>
      </c>
      <c r="M7" s="20">
        <v>397</v>
      </c>
    </row>
    <row r="8" spans="1:13" x14ac:dyDescent="0.3">
      <c r="A8" s="8" t="s">
        <v>30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2</v>
      </c>
      <c r="M8" s="20">
        <v>5</v>
      </c>
    </row>
    <row r="9" spans="1:13" x14ac:dyDescent="0.3">
      <c r="A9" s="8" t="s">
        <v>31</v>
      </c>
      <c r="B9" s="2">
        <v>588</v>
      </c>
      <c r="C9" s="2">
        <v>626</v>
      </c>
      <c r="D9" s="2">
        <v>280</v>
      </c>
      <c r="E9" s="2">
        <v>287</v>
      </c>
      <c r="F9" s="2">
        <v>214</v>
      </c>
      <c r="G9" s="2">
        <v>140</v>
      </c>
      <c r="H9" s="2">
        <v>0</v>
      </c>
      <c r="I9" s="2">
        <v>0</v>
      </c>
      <c r="J9" s="2">
        <v>0</v>
      </c>
      <c r="K9" s="2">
        <v>0</v>
      </c>
      <c r="L9" s="2">
        <v>-2</v>
      </c>
      <c r="M9" s="20">
        <v>-5</v>
      </c>
    </row>
    <row r="10" spans="1:13" x14ac:dyDescent="0.3">
      <c r="A10" s="8" t="s">
        <v>67</v>
      </c>
      <c r="B10" s="1">
        <v>3303</v>
      </c>
      <c r="C10" s="1">
        <v>3568</v>
      </c>
      <c r="D10" s="1">
        <v>3464</v>
      </c>
      <c r="E10" s="1">
        <v>4492</v>
      </c>
      <c r="F10" s="1">
        <v>5414</v>
      </c>
      <c r="G10" s="1">
        <v>6113</v>
      </c>
      <c r="H10" s="1">
        <v>6147</v>
      </c>
      <c r="I10" s="1">
        <v>6211</v>
      </c>
      <c r="J10" s="1">
        <v>7379</v>
      </c>
      <c r="K10" s="1">
        <v>8227</v>
      </c>
      <c r="L10" s="1">
        <v>8566</v>
      </c>
      <c r="M10" s="21">
        <v>12232</v>
      </c>
    </row>
    <row r="11" spans="1:13" x14ac:dyDescent="0.3">
      <c r="A11" s="8" t="s">
        <v>32</v>
      </c>
      <c r="B11" s="2">
        <v>26</v>
      </c>
      <c r="C11" s="2">
        <v>3</v>
      </c>
      <c r="D11" s="2">
        <v>2</v>
      </c>
      <c r="E11" s="2">
        <v>2</v>
      </c>
      <c r="F11" s="2">
        <v>2</v>
      </c>
      <c r="G11" s="2">
        <v>0</v>
      </c>
      <c r="H11" s="2">
        <v>-1</v>
      </c>
      <c r="I11" s="2">
        <v>-2</v>
      </c>
      <c r="J11" s="2">
        <v>12</v>
      </c>
      <c r="K11" s="2">
        <v>8</v>
      </c>
      <c r="L11" s="2">
        <v>-6</v>
      </c>
      <c r="M11" s="20">
        <v>-8</v>
      </c>
    </row>
    <row r="12" spans="1:13" x14ac:dyDescent="0.3">
      <c r="A12" s="8" t="s">
        <v>33</v>
      </c>
      <c r="B12" s="2">
        <v>2051</v>
      </c>
      <c r="C12" s="2">
        <v>2457</v>
      </c>
      <c r="D12" s="2">
        <v>2155</v>
      </c>
      <c r="E12" s="2">
        <v>2373</v>
      </c>
      <c r="F12" s="2">
        <v>2552</v>
      </c>
      <c r="G12" s="2">
        <v>2576</v>
      </c>
      <c r="H12" s="2">
        <v>2795</v>
      </c>
      <c r="I12" s="2">
        <v>2703</v>
      </c>
      <c r="J12" s="2">
        <v>3871</v>
      </c>
      <c r="K12" s="2">
        <v>4454</v>
      </c>
      <c r="L12" s="2">
        <v>4189</v>
      </c>
      <c r="M12" s="20">
        <v>5567</v>
      </c>
    </row>
    <row r="13" spans="1:13" x14ac:dyDescent="0.3">
      <c r="A13" s="8" t="s">
        <v>34</v>
      </c>
      <c r="B13" s="2">
        <v>4</v>
      </c>
      <c r="C13" s="2">
        <v>6</v>
      </c>
      <c r="D13" s="2">
        <v>39</v>
      </c>
      <c r="E13" s="2">
        <v>67</v>
      </c>
      <c r="F13" s="2">
        <v>167</v>
      </c>
      <c r="G13" s="2">
        <v>21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0">
        <v>0</v>
      </c>
    </row>
    <row r="14" spans="1:13" x14ac:dyDescent="0.3">
      <c r="A14" s="8" t="s">
        <v>35</v>
      </c>
      <c r="B14" s="2"/>
      <c r="C14" s="2">
        <v>1103</v>
      </c>
      <c r="D14" s="2">
        <v>1268</v>
      </c>
      <c r="E14" s="2">
        <v>2050</v>
      </c>
      <c r="F14" s="2">
        <v>2693</v>
      </c>
      <c r="G14" s="2">
        <v>3516</v>
      </c>
      <c r="H14" s="2">
        <v>3353</v>
      </c>
      <c r="I14" s="2">
        <v>3510</v>
      </c>
      <c r="J14" s="2">
        <v>3496</v>
      </c>
      <c r="K14" s="2">
        <v>3765</v>
      </c>
      <c r="L14" s="2">
        <v>4383</v>
      </c>
      <c r="M14" s="20">
        <v>6673</v>
      </c>
    </row>
    <row r="15" spans="1:13" x14ac:dyDescent="0.3">
      <c r="A15" s="8" t="s">
        <v>125</v>
      </c>
      <c r="B15" s="1">
        <v>12910</v>
      </c>
      <c r="C15" s="1">
        <v>15896</v>
      </c>
      <c r="D15" s="1">
        <v>16200</v>
      </c>
      <c r="E15" s="1">
        <v>20942</v>
      </c>
      <c r="F15" s="1">
        <v>26271</v>
      </c>
      <c r="G15" s="1">
        <v>28765</v>
      </c>
      <c r="H15" s="1">
        <v>33416</v>
      </c>
      <c r="I15" s="1">
        <v>33638</v>
      </c>
      <c r="J15" s="1">
        <v>39505</v>
      </c>
      <c r="K15" s="1">
        <v>44717</v>
      </c>
      <c r="L15" s="1">
        <v>49482</v>
      </c>
      <c r="M15" s="21">
        <v>58196</v>
      </c>
    </row>
    <row r="16" spans="1:13" x14ac:dyDescent="0.3">
      <c r="A16" s="8" t="s">
        <v>68</v>
      </c>
      <c r="B16" s="1">
        <v>3706</v>
      </c>
      <c r="C16" s="1">
        <v>4180</v>
      </c>
      <c r="D16" s="1">
        <v>4834</v>
      </c>
      <c r="E16" s="1">
        <v>6521</v>
      </c>
      <c r="F16" s="1">
        <v>8475</v>
      </c>
      <c r="G16" s="1">
        <v>9396</v>
      </c>
      <c r="H16" s="1">
        <v>9374</v>
      </c>
      <c r="I16" s="1">
        <v>10532</v>
      </c>
      <c r="J16" s="1">
        <v>11024</v>
      </c>
      <c r="K16" s="1">
        <v>14493</v>
      </c>
      <c r="L16" s="1">
        <v>14794</v>
      </c>
      <c r="M16" s="21">
        <v>17407</v>
      </c>
    </row>
    <row r="17" spans="1:13" x14ac:dyDescent="0.3">
      <c r="A17" s="8" t="s">
        <v>36</v>
      </c>
      <c r="B17" s="2">
        <v>142</v>
      </c>
      <c r="C17" s="2">
        <v>325</v>
      </c>
      <c r="D17" s="2">
        <v>454</v>
      </c>
      <c r="E17" s="2">
        <v>236</v>
      </c>
      <c r="F17" s="2">
        <v>254</v>
      </c>
      <c r="G17" s="2">
        <v>253</v>
      </c>
      <c r="H17" s="2">
        <v>286</v>
      </c>
      <c r="I17" s="2">
        <v>781</v>
      </c>
      <c r="J17" s="2">
        <v>955</v>
      </c>
      <c r="K17" s="2">
        <v>979</v>
      </c>
      <c r="L17" s="2">
        <v>1007</v>
      </c>
      <c r="M17" s="20">
        <v>1186</v>
      </c>
    </row>
    <row r="18" spans="1:13" x14ac:dyDescent="0.3">
      <c r="A18" s="8" t="s">
        <v>37</v>
      </c>
      <c r="B18" s="2">
        <v>950</v>
      </c>
      <c r="C18" s="2">
        <v>915</v>
      </c>
      <c r="D18" s="2">
        <v>1124</v>
      </c>
      <c r="E18" s="2">
        <v>1606</v>
      </c>
      <c r="F18" s="2">
        <v>1897</v>
      </c>
      <c r="G18" s="2">
        <v>2276</v>
      </c>
      <c r="H18" s="2">
        <v>2418</v>
      </c>
      <c r="I18" s="2">
        <v>2841</v>
      </c>
      <c r="J18" s="2">
        <v>3592</v>
      </c>
      <c r="K18" s="2">
        <v>4916</v>
      </c>
      <c r="L18" s="2">
        <v>4735</v>
      </c>
      <c r="M18" s="20">
        <v>5623</v>
      </c>
    </row>
    <row r="19" spans="1:13" x14ac:dyDescent="0.3">
      <c r="A19" s="8" t="s">
        <v>38</v>
      </c>
      <c r="B19" s="2">
        <v>3148</v>
      </c>
      <c r="C19" s="2">
        <v>2376</v>
      </c>
      <c r="D19" s="2">
        <v>3068</v>
      </c>
      <c r="E19" s="2">
        <v>3878</v>
      </c>
      <c r="F19" s="2">
        <v>4993</v>
      </c>
      <c r="G19" s="2">
        <v>5624</v>
      </c>
      <c r="H19" s="2">
        <v>6444</v>
      </c>
      <c r="I19" s="2">
        <v>7489</v>
      </c>
      <c r="J19" s="2">
        <v>8433</v>
      </c>
      <c r="K19" s="2">
        <v>11048</v>
      </c>
      <c r="L19" s="2">
        <v>11993</v>
      </c>
      <c r="M19" s="20">
        <v>14275</v>
      </c>
    </row>
    <row r="20" spans="1:13" x14ac:dyDescent="0.3">
      <c r="A20" s="8" t="s">
        <v>39</v>
      </c>
      <c r="B20" s="2">
        <v>47</v>
      </c>
      <c r="C20" s="2">
        <v>27</v>
      </c>
      <c r="D20" s="2">
        <v>33</v>
      </c>
      <c r="E20" s="2">
        <v>47</v>
      </c>
      <c r="F20" s="2">
        <v>71</v>
      </c>
      <c r="G20" s="2">
        <v>88</v>
      </c>
      <c r="H20" s="2">
        <v>90</v>
      </c>
      <c r="I20" s="2">
        <v>112</v>
      </c>
      <c r="J20" s="2">
        <v>166</v>
      </c>
      <c r="K20" s="2">
        <v>506</v>
      </c>
      <c r="L20" s="2">
        <v>448</v>
      </c>
      <c r="M20" s="20">
        <v>499</v>
      </c>
    </row>
    <row r="21" spans="1:13" x14ac:dyDescent="0.3">
      <c r="A21" s="8" t="s">
        <v>40</v>
      </c>
      <c r="B21" s="2">
        <v>98</v>
      </c>
      <c r="C21" s="2">
        <v>70</v>
      </c>
      <c r="D21" s="2">
        <v>98</v>
      </c>
      <c r="E21" s="2">
        <v>127</v>
      </c>
      <c r="F21" s="2">
        <v>163</v>
      </c>
      <c r="G21" s="2">
        <v>180</v>
      </c>
      <c r="H21" s="2">
        <v>186</v>
      </c>
      <c r="I21" s="2">
        <v>243</v>
      </c>
      <c r="J21" s="2">
        <v>268</v>
      </c>
      <c r="K21" s="2">
        <v>297</v>
      </c>
      <c r="L21" s="2">
        <v>343</v>
      </c>
      <c r="M21" s="20">
        <v>418</v>
      </c>
    </row>
    <row r="22" spans="1:13" x14ac:dyDescent="0.3">
      <c r="A22" s="8" t="s">
        <v>41</v>
      </c>
      <c r="B22" s="2">
        <v>17</v>
      </c>
      <c r="C22" s="2">
        <v>11</v>
      </c>
      <c r="D22" s="2">
        <v>23</v>
      </c>
      <c r="E22" s="2">
        <v>26</v>
      </c>
      <c r="F22" s="2">
        <v>50</v>
      </c>
      <c r="G22" s="2">
        <v>27</v>
      </c>
      <c r="H22" s="2">
        <v>34</v>
      </c>
      <c r="I22" s="2">
        <v>131</v>
      </c>
      <c r="J22" s="2">
        <v>142</v>
      </c>
      <c r="K22" s="2">
        <v>172</v>
      </c>
      <c r="L22" s="2">
        <v>201</v>
      </c>
      <c r="M22" s="20">
        <v>234</v>
      </c>
    </row>
    <row r="23" spans="1:13" x14ac:dyDescent="0.3">
      <c r="A23" s="8" t="s">
        <v>42</v>
      </c>
      <c r="B23" s="2">
        <v>1034</v>
      </c>
      <c r="C23" s="2">
        <v>844</v>
      </c>
      <c r="D23" s="2">
        <v>836</v>
      </c>
      <c r="E23" s="2">
        <v>1974</v>
      </c>
      <c r="F23" s="2">
        <v>3069</v>
      </c>
      <c r="G23" s="2">
        <v>3464</v>
      </c>
      <c r="H23" s="2">
        <v>3581</v>
      </c>
      <c r="I23" s="2">
        <v>3928</v>
      </c>
      <c r="J23" s="2">
        <v>5039</v>
      </c>
      <c r="K23" s="2">
        <v>5530</v>
      </c>
      <c r="L23" s="2">
        <v>5735</v>
      </c>
      <c r="M23" s="20">
        <v>7017</v>
      </c>
    </row>
    <row r="24" spans="1:13" x14ac:dyDescent="0.3">
      <c r="A24" s="8" t="s">
        <v>43</v>
      </c>
      <c r="B24" s="2">
        <v>10</v>
      </c>
      <c r="C24" s="2">
        <v>0</v>
      </c>
      <c r="D24" s="2">
        <v>0</v>
      </c>
      <c r="E24" s="2">
        <v>0</v>
      </c>
      <c r="F24" s="2">
        <v>0</v>
      </c>
      <c r="G24" s="2">
        <v>530</v>
      </c>
      <c r="H24" s="2">
        <v>574</v>
      </c>
      <c r="I24" s="2">
        <v>0</v>
      </c>
      <c r="J24" s="2">
        <v>0</v>
      </c>
      <c r="K24" s="2">
        <v>0</v>
      </c>
      <c r="L24" s="2">
        <v>0</v>
      </c>
      <c r="M24" s="20">
        <v>0</v>
      </c>
    </row>
    <row r="25" spans="1:13" x14ac:dyDescent="0.3">
      <c r="A25" s="8" t="s">
        <v>44</v>
      </c>
      <c r="B25" s="1">
        <v>5446</v>
      </c>
      <c r="C25" s="1">
        <v>4570</v>
      </c>
      <c r="D25" s="1">
        <v>5635</v>
      </c>
      <c r="E25" s="1">
        <v>7895</v>
      </c>
      <c r="F25" s="1">
        <v>10498</v>
      </c>
      <c r="G25" s="1">
        <v>12441</v>
      </c>
      <c r="H25" s="1">
        <v>13613</v>
      </c>
      <c r="I25" s="1">
        <v>15525</v>
      </c>
      <c r="J25" s="1">
        <v>18593</v>
      </c>
      <c r="K25" s="1">
        <v>23448</v>
      </c>
      <c r="L25" s="1">
        <v>24463</v>
      </c>
      <c r="M25" s="21">
        <v>29251</v>
      </c>
    </row>
    <row r="26" spans="1:13" x14ac:dyDescent="0.3">
      <c r="A26" s="8" t="s">
        <v>45</v>
      </c>
      <c r="B26" s="2">
        <v>1740</v>
      </c>
      <c r="C26" s="2">
        <v>390</v>
      </c>
      <c r="D26" s="2">
        <v>802</v>
      </c>
      <c r="E26" s="2">
        <v>1374</v>
      </c>
      <c r="F26" s="2">
        <v>2023</v>
      </c>
      <c r="G26" s="2">
        <v>3045</v>
      </c>
      <c r="H26" s="2">
        <v>4240</v>
      </c>
      <c r="I26" s="2">
        <v>4992</v>
      </c>
      <c r="J26" s="2">
        <v>7570</v>
      </c>
      <c r="K26" s="2">
        <v>8955</v>
      </c>
      <c r="L26" s="2">
        <v>9669</v>
      </c>
      <c r="M26" s="20">
        <v>11844</v>
      </c>
    </row>
    <row r="27" spans="1:13" x14ac:dyDescent="0.3">
      <c r="A27" s="8" t="s">
        <v>46</v>
      </c>
      <c r="B27" s="2">
        <v>420</v>
      </c>
      <c r="C27" s="2">
        <v>848</v>
      </c>
      <c r="D27" s="2">
        <v>1458</v>
      </c>
      <c r="E27" s="2">
        <v>1583</v>
      </c>
      <c r="F27" s="2">
        <v>1668</v>
      </c>
      <c r="G27" s="2">
        <v>1986</v>
      </c>
      <c r="H27" s="2">
        <v>3062</v>
      </c>
      <c r="I27" s="2">
        <v>3747</v>
      </c>
      <c r="J27" s="2">
        <v>5390</v>
      </c>
      <c r="K27" s="2">
        <v>3869</v>
      </c>
      <c r="L27" s="2">
        <v>4900</v>
      </c>
      <c r="M27" s="20">
        <v>5214</v>
      </c>
    </row>
    <row r="28" spans="1:13" x14ac:dyDescent="0.3">
      <c r="A28" s="8" t="s">
        <v>47</v>
      </c>
      <c r="B28" s="2">
        <v>20</v>
      </c>
      <c r="C28" s="2">
        <v>123</v>
      </c>
      <c r="D28" s="2">
        <v>246</v>
      </c>
      <c r="E28" s="2">
        <v>312</v>
      </c>
      <c r="F28" s="2">
        <v>360</v>
      </c>
      <c r="G28" s="2">
        <v>555</v>
      </c>
      <c r="H28" s="2">
        <v>591</v>
      </c>
      <c r="I28" s="2">
        <v>997</v>
      </c>
      <c r="J28" s="2">
        <v>543</v>
      </c>
      <c r="K28" s="2">
        <v>372</v>
      </c>
      <c r="L28" s="2">
        <v>252</v>
      </c>
      <c r="M28" s="20">
        <v>1051</v>
      </c>
    </row>
    <row r="29" spans="1:13" x14ac:dyDescent="0.3">
      <c r="A29" s="8" t="s">
        <v>69</v>
      </c>
      <c r="B29" s="1">
        <v>8765</v>
      </c>
      <c r="C29" s="1">
        <v>10745</v>
      </c>
      <c r="D29" s="1">
        <v>9662</v>
      </c>
      <c r="E29" s="1">
        <v>12527</v>
      </c>
      <c r="F29" s="1">
        <v>15768</v>
      </c>
      <c r="G29" s="1">
        <v>16827</v>
      </c>
      <c r="H29" s="1">
        <v>20390</v>
      </c>
      <c r="I29" s="1">
        <v>18362</v>
      </c>
      <c r="J29" s="1">
        <v>22549</v>
      </c>
      <c r="K29" s="1">
        <v>25983</v>
      </c>
      <c r="L29" s="1">
        <v>29536</v>
      </c>
      <c r="M29" s="21">
        <v>34525</v>
      </c>
    </row>
    <row r="30" spans="1:13" x14ac:dyDescent="0.3">
      <c r="A30" s="8" t="s">
        <v>48</v>
      </c>
      <c r="B30" s="2">
        <v>3611</v>
      </c>
      <c r="C30" s="2">
        <v>4056</v>
      </c>
      <c r="D30" s="2">
        <v>4331</v>
      </c>
      <c r="E30" s="2">
        <v>5858</v>
      </c>
      <c r="F30" s="2">
        <v>7246</v>
      </c>
      <c r="G30" s="2">
        <v>7700</v>
      </c>
      <c r="H30" s="2">
        <v>9041</v>
      </c>
      <c r="I30" s="2">
        <v>7559</v>
      </c>
      <c r="J30" s="2">
        <v>8516</v>
      </c>
      <c r="K30" s="2">
        <v>9810</v>
      </c>
      <c r="L30" s="2">
        <v>10544</v>
      </c>
      <c r="M30" s="20">
        <v>12053</v>
      </c>
    </row>
    <row r="31" spans="1:13" x14ac:dyDescent="0.3">
      <c r="A31" s="8" t="s">
        <v>49</v>
      </c>
      <c r="B31" s="2">
        <v>3539</v>
      </c>
      <c r="C31" s="2">
        <v>4607</v>
      </c>
      <c r="D31" s="2">
        <v>2765</v>
      </c>
      <c r="E31" s="2">
        <v>3080</v>
      </c>
      <c r="F31" s="2">
        <v>3414</v>
      </c>
      <c r="G31" s="2">
        <v>4315</v>
      </c>
      <c r="H31" s="2">
        <v>3503</v>
      </c>
      <c r="I31" s="2">
        <v>4012</v>
      </c>
      <c r="J31" s="2">
        <v>4466</v>
      </c>
      <c r="K31" s="2">
        <v>4817</v>
      </c>
      <c r="L31" s="2">
        <v>5746</v>
      </c>
      <c r="M31" s="20">
        <v>7094</v>
      </c>
    </row>
    <row r="32" spans="1:13" x14ac:dyDescent="0.3">
      <c r="A32" s="8" t="s">
        <v>50</v>
      </c>
      <c r="B32" s="2">
        <v>469</v>
      </c>
      <c r="C32" s="2">
        <v>800</v>
      </c>
      <c r="D32" s="2">
        <v>513</v>
      </c>
      <c r="E32" s="2">
        <v>1262</v>
      </c>
      <c r="F32" s="2">
        <v>1957</v>
      </c>
      <c r="G32" s="2">
        <v>2842</v>
      </c>
      <c r="H32" s="2">
        <v>5474</v>
      </c>
      <c r="I32" s="2">
        <v>4190</v>
      </c>
      <c r="J32" s="2">
        <v>6084</v>
      </c>
      <c r="K32" s="2">
        <v>6278</v>
      </c>
      <c r="L32" s="2">
        <v>8235</v>
      </c>
      <c r="M32" s="20">
        <v>9870</v>
      </c>
    </row>
    <row r="33" spans="1:13" x14ac:dyDescent="0.3">
      <c r="A33" s="8" t="s">
        <v>51</v>
      </c>
      <c r="B33" s="2">
        <v>15</v>
      </c>
      <c r="C33" s="2">
        <v>14</v>
      </c>
      <c r="D33" s="2">
        <v>28</v>
      </c>
      <c r="E33" s="2">
        <v>72</v>
      </c>
      <c r="F33" s="2">
        <v>13</v>
      </c>
      <c r="G33" s="2">
        <v>29</v>
      </c>
      <c r="H33" s="2">
        <v>93</v>
      </c>
      <c r="I33" s="2">
        <v>283</v>
      </c>
      <c r="J33" s="2">
        <v>87</v>
      </c>
      <c r="K33" s="2">
        <v>17</v>
      </c>
      <c r="L33" s="2">
        <v>17</v>
      </c>
      <c r="M33" s="20">
        <v>38</v>
      </c>
    </row>
    <row r="34" spans="1:13" x14ac:dyDescent="0.3">
      <c r="A34" s="8" t="s">
        <v>52</v>
      </c>
      <c r="B34" s="2">
        <v>1130</v>
      </c>
      <c r="C34" s="2">
        <v>1269</v>
      </c>
      <c r="D34" s="2">
        <v>2026</v>
      </c>
      <c r="E34" s="2">
        <v>2254</v>
      </c>
      <c r="F34" s="2">
        <v>3138</v>
      </c>
      <c r="G34" s="2">
        <v>1941</v>
      </c>
      <c r="H34" s="2">
        <v>2278</v>
      </c>
      <c r="I34" s="2">
        <v>2318</v>
      </c>
      <c r="J34" s="2">
        <v>3395</v>
      </c>
      <c r="K34" s="2">
        <v>5061</v>
      </c>
      <c r="L34" s="2">
        <v>4994</v>
      </c>
      <c r="M34" s="20">
        <v>5470</v>
      </c>
    </row>
    <row r="35" spans="1:13" x14ac:dyDescent="0.3">
      <c r="A35" s="17" t="s">
        <v>53</v>
      </c>
      <c r="B35" s="24">
        <v>12910</v>
      </c>
      <c r="C35" s="24">
        <v>15896</v>
      </c>
      <c r="D35" s="24">
        <v>16200</v>
      </c>
      <c r="E35" s="24">
        <v>20942</v>
      </c>
      <c r="F35" s="24">
        <v>26271</v>
      </c>
      <c r="G35" s="24">
        <v>28765</v>
      </c>
      <c r="H35" s="24">
        <v>33416</v>
      </c>
      <c r="I35" s="24">
        <v>33638</v>
      </c>
      <c r="J35" s="24">
        <v>39505</v>
      </c>
      <c r="K35" s="24">
        <v>44717</v>
      </c>
      <c r="L35" s="24">
        <v>49482</v>
      </c>
      <c r="M35" s="25">
        <v>58196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9DE1-9BD4-48B8-A610-5A97F2E645F0}">
  <dimension ref="A1:AR34"/>
  <sheetViews>
    <sheetView zoomScale="99" zoomScaleNormal="100" workbookViewId="0">
      <selection activeCell="B36" sqref="B36"/>
    </sheetView>
  </sheetViews>
  <sheetFormatPr defaultRowHeight="14.4" x14ac:dyDescent="0.3"/>
  <cols>
    <col min="1" max="1" width="20.5546875" customWidth="1"/>
  </cols>
  <sheetData>
    <row r="1" spans="1:44" x14ac:dyDescent="0.3">
      <c r="A1" s="48" t="s">
        <v>86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</row>
    <row r="2" spans="1:44" x14ac:dyDescent="0.3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</row>
    <row r="3" spans="1:44" x14ac:dyDescent="0.3">
      <c r="A3" s="42" t="s">
        <v>54</v>
      </c>
      <c r="B3" s="43">
        <v>42064</v>
      </c>
      <c r="C3" s="43">
        <v>42430</v>
      </c>
      <c r="D3" s="43" t="s">
        <v>88</v>
      </c>
      <c r="E3" s="43" t="s">
        <v>87</v>
      </c>
      <c r="F3" s="43">
        <v>42795</v>
      </c>
      <c r="G3" s="43" t="s">
        <v>88</v>
      </c>
      <c r="H3" s="43" t="s">
        <v>87</v>
      </c>
      <c r="I3" s="43">
        <v>43160</v>
      </c>
      <c r="J3" s="43" t="s">
        <v>88</v>
      </c>
      <c r="K3" s="43" t="s">
        <v>87</v>
      </c>
      <c r="L3" s="43">
        <v>43525</v>
      </c>
      <c r="M3" s="43" t="s">
        <v>88</v>
      </c>
      <c r="N3" s="43" t="s">
        <v>87</v>
      </c>
      <c r="O3" s="43">
        <v>43891</v>
      </c>
      <c r="P3" s="43" t="s">
        <v>88</v>
      </c>
      <c r="Q3" s="43" t="s">
        <v>87</v>
      </c>
      <c r="R3" s="43">
        <v>44256</v>
      </c>
      <c r="S3" s="43" t="s">
        <v>88</v>
      </c>
      <c r="T3" s="43" t="s">
        <v>87</v>
      </c>
      <c r="U3" s="43">
        <v>44621</v>
      </c>
      <c r="V3" s="43" t="s">
        <v>88</v>
      </c>
      <c r="W3" s="43" t="s">
        <v>87</v>
      </c>
      <c r="X3" s="43">
        <v>44986</v>
      </c>
      <c r="Y3" s="43" t="s">
        <v>88</v>
      </c>
      <c r="Z3" s="43" t="s">
        <v>87</v>
      </c>
      <c r="AA3" s="43">
        <v>45352</v>
      </c>
      <c r="AB3" s="44" t="s">
        <v>88</v>
      </c>
      <c r="AC3" s="44" t="s">
        <v>87</v>
      </c>
      <c r="AD3" s="44">
        <v>45717</v>
      </c>
      <c r="AE3" s="44" t="s">
        <v>88</v>
      </c>
      <c r="AF3" s="44" t="s">
        <v>87</v>
      </c>
      <c r="AG3" s="43">
        <v>46082</v>
      </c>
      <c r="AH3" s="42" t="s">
        <v>88</v>
      </c>
      <c r="AI3" s="43" t="s">
        <v>87</v>
      </c>
      <c r="AJ3" s="26"/>
      <c r="AK3" s="27"/>
      <c r="AL3" s="26"/>
      <c r="AM3" s="27"/>
      <c r="AN3" s="26"/>
      <c r="AO3" s="27"/>
      <c r="AP3" s="26"/>
      <c r="AQ3" s="27"/>
      <c r="AR3" s="26"/>
    </row>
    <row r="4" spans="1:44" x14ac:dyDescent="0.3">
      <c r="A4" s="42" t="s">
        <v>89</v>
      </c>
      <c r="B4" s="30">
        <v>12103</v>
      </c>
      <c r="C4" s="30">
        <v>13772</v>
      </c>
      <c r="D4" s="30">
        <f t="shared" ref="D4:D12" si="0">C4-B4</f>
        <v>1669</v>
      </c>
      <c r="E4" s="35">
        <f>(C4-B4)/B4*100</f>
        <v>13.789969429067172</v>
      </c>
      <c r="F4" s="28">
        <v>14910</v>
      </c>
      <c r="G4" s="28">
        <f t="shared" ref="G4:G12" si="1">F4-C4</f>
        <v>1138</v>
      </c>
      <c r="H4" s="36">
        <f t="shared" ref="H4:H12" si="2">(F4-C4)/C4*100</f>
        <v>8.263142608190531</v>
      </c>
      <c r="I4" s="28">
        <v>16463</v>
      </c>
      <c r="J4" s="28">
        <f t="shared" ref="J4:J12" si="3">I4-F4</f>
        <v>1553</v>
      </c>
      <c r="K4" s="36">
        <f t="shared" ref="K4:K12" si="4">(I4-F4)/F4*100</f>
        <v>10.415828303152248</v>
      </c>
      <c r="L4" s="28">
        <v>19564</v>
      </c>
      <c r="M4" s="28">
        <f>L4-I4</f>
        <v>3101</v>
      </c>
      <c r="N4" s="36">
        <f>(L4-I4)/I4*100</f>
        <v>18.836178096337242</v>
      </c>
      <c r="O4" s="28">
        <v>23099</v>
      </c>
      <c r="P4" s="28">
        <f>O4-L4</f>
        <v>3535</v>
      </c>
      <c r="Q4" s="36">
        <f>(O4-L4)/L4*100</f>
        <v>18.068902065017379</v>
      </c>
      <c r="R4" s="28">
        <v>24775</v>
      </c>
      <c r="S4" s="28">
        <f>R4-O4</f>
        <v>1676</v>
      </c>
      <c r="T4" s="36">
        <f>(R4-O4)/O4*100</f>
        <v>7.2557253560760202</v>
      </c>
      <c r="U4" s="28">
        <v>23455</v>
      </c>
      <c r="V4" s="28">
        <f>U4-R4</f>
        <v>-1320</v>
      </c>
      <c r="W4" s="36">
        <f>(U4-R4)/R4*100</f>
        <v>-5.3279515640766908</v>
      </c>
      <c r="X4" s="28">
        <v>24855</v>
      </c>
      <c r="Y4" s="28">
        <f>X4-U4</f>
        <v>1400</v>
      </c>
      <c r="Z4" s="36">
        <f>(X4-U4)/U4*100</f>
        <v>5.9688765721594548</v>
      </c>
      <c r="AA4" s="28">
        <v>29002</v>
      </c>
      <c r="AB4" s="28">
        <f>AA4-X4</f>
        <v>4147</v>
      </c>
      <c r="AC4" s="36">
        <f>(AA4-X4)/X4*100</f>
        <v>16.684771675719169</v>
      </c>
      <c r="AD4" s="28">
        <v>31724</v>
      </c>
      <c r="AE4" s="28">
        <f>AD4-AA4</f>
        <v>2722</v>
      </c>
      <c r="AF4" s="36">
        <f>(AD4-AA4)/AA4*100</f>
        <v>9.385559616578167</v>
      </c>
      <c r="AG4" s="28">
        <v>33653</v>
      </c>
      <c r="AH4" s="2">
        <f>AG4-AD4</f>
        <v>1929</v>
      </c>
      <c r="AI4" s="35">
        <f>(AG4-AD4)/AD4*100</f>
        <v>6.0805699155213722</v>
      </c>
    </row>
    <row r="5" spans="1:44" x14ac:dyDescent="0.3">
      <c r="A5" s="42" t="s">
        <v>90</v>
      </c>
      <c r="B5" s="28">
        <v>9524</v>
      </c>
      <c r="C5" s="28">
        <v>10579</v>
      </c>
      <c r="D5" s="30">
        <f t="shared" si="0"/>
        <v>1055</v>
      </c>
      <c r="E5" s="35">
        <f t="shared" ref="E5:E12" si="5">(C5-B5)/B5*100</f>
        <v>11.07727845443091</v>
      </c>
      <c r="F5" s="28">
        <v>11469</v>
      </c>
      <c r="G5" s="28">
        <f t="shared" si="1"/>
        <v>890</v>
      </c>
      <c r="H5" s="36">
        <f t="shared" si="2"/>
        <v>8.4128934681917009</v>
      </c>
      <c r="I5" s="28">
        <v>12691</v>
      </c>
      <c r="J5" s="28">
        <f t="shared" si="3"/>
        <v>1222</v>
      </c>
      <c r="K5" s="36">
        <f t="shared" si="4"/>
        <v>10.654808614526114</v>
      </c>
      <c r="L5" s="28">
        <v>15612</v>
      </c>
      <c r="M5" s="28">
        <f t="shared" ref="M5:M12" si="6">L5-I5</f>
        <v>2921</v>
      </c>
      <c r="N5" s="36">
        <f t="shared" ref="N5:N12" si="7">(L5-I5)/I5*100</f>
        <v>23.016310771412812</v>
      </c>
      <c r="O5" s="28">
        <v>18249</v>
      </c>
      <c r="P5" s="28">
        <f t="shared" ref="P5:P12" si="8">O5-L5</f>
        <v>2637</v>
      </c>
      <c r="Q5" s="36">
        <f t="shared" ref="Q5:Q12" si="9">(O5-L5)/L5*100</f>
        <v>16.890853189853956</v>
      </c>
      <c r="R5" s="28">
        <v>19497</v>
      </c>
      <c r="S5" s="28">
        <f t="shared" ref="S5:S12" si="10">R5-O5</f>
        <v>1248</v>
      </c>
      <c r="T5" s="36">
        <f t="shared" ref="T5:T12" si="11">(R5-O5)/O5*100</f>
        <v>6.8387308893638004</v>
      </c>
      <c r="U5" s="28">
        <v>19060</v>
      </c>
      <c r="V5" s="28">
        <f t="shared" ref="V5:V12" si="12">U5-R5</f>
        <v>-437</v>
      </c>
      <c r="W5" s="36">
        <f t="shared" ref="W5:W12" si="13">(U5-R5)/R5*100</f>
        <v>-2.2413704672513721</v>
      </c>
      <c r="X5" s="28">
        <v>21148</v>
      </c>
      <c r="Y5" s="28">
        <f t="shared" ref="Y5:Y12" si="14">X5-U5</f>
        <v>2088</v>
      </c>
      <c r="Z5" s="36">
        <f t="shared" ref="Z5:Z12" si="15">(X5-U5)/U5*100</f>
        <v>10.954879328436515</v>
      </c>
      <c r="AA5" s="28">
        <v>23176</v>
      </c>
      <c r="AB5" s="28">
        <f t="shared" ref="AB5:AB12" si="16">AA5-X5</f>
        <v>2028</v>
      </c>
      <c r="AC5" s="36">
        <f t="shared" ref="AC5:AC12" si="17">(AA5-X5)/X5*100</f>
        <v>9.5895592963873657</v>
      </c>
      <c r="AD5" s="28">
        <v>25164</v>
      </c>
      <c r="AE5" s="28">
        <f t="shared" ref="AE5:AE12" si="18">AD5-AA5</f>
        <v>1988</v>
      </c>
      <c r="AF5" s="36">
        <f t="shared" ref="AF5:AF12" si="19">(AD5-AA5)/AA5*100</f>
        <v>8.5778391439420094</v>
      </c>
      <c r="AG5" s="28">
        <v>26783</v>
      </c>
      <c r="AH5" s="2">
        <f t="shared" ref="AH5:AH12" si="20">AG5-AD5</f>
        <v>1619</v>
      </c>
      <c r="AI5" s="35">
        <f t="shared" ref="AI5:AI12" si="21">(AG5-AD5)/AD5*100</f>
        <v>6.4337943093307901</v>
      </c>
    </row>
    <row r="6" spans="1:44" x14ac:dyDescent="0.3">
      <c r="A6" s="42" t="s">
        <v>8</v>
      </c>
      <c r="B6" s="31">
        <v>2579</v>
      </c>
      <c r="C6" s="31">
        <v>3193</v>
      </c>
      <c r="D6" s="30">
        <f t="shared" si="0"/>
        <v>614</v>
      </c>
      <c r="E6" s="35">
        <f t="shared" si="5"/>
        <v>23.807677394338892</v>
      </c>
      <c r="F6" s="31">
        <v>3441</v>
      </c>
      <c r="G6" s="28">
        <f t="shared" si="1"/>
        <v>248</v>
      </c>
      <c r="H6" s="36">
        <f t="shared" si="2"/>
        <v>7.7669902912621351</v>
      </c>
      <c r="I6" s="31">
        <v>3772</v>
      </c>
      <c r="J6" s="28">
        <f t="shared" si="3"/>
        <v>331</v>
      </c>
      <c r="K6" s="36">
        <f t="shared" si="4"/>
        <v>9.6192967160709095</v>
      </c>
      <c r="L6" s="31">
        <v>3952</v>
      </c>
      <c r="M6" s="28">
        <f t="shared" si="6"/>
        <v>180</v>
      </c>
      <c r="N6" s="36">
        <f t="shared" si="7"/>
        <v>4.7720042417815485</v>
      </c>
      <c r="O6" s="31">
        <v>4849</v>
      </c>
      <c r="P6" s="28">
        <f t="shared" si="8"/>
        <v>897</v>
      </c>
      <c r="Q6" s="36">
        <f t="shared" si="9"/>
        <v>22.697368421052634</v>
      </c>
      <c r="R6" s="31">
        <v>5278</v>
      </c>
      <c r="S6" s="28">
        <f t="shared" si="10"/>
        <v>429</v>
      </c>
      <c r="T6" s="36">
        <f t="shared" si="11"/>
        <v>8.8471849865951739</v>
      </c>
      <c r="U6" s="31">
        <v>4396</v>
      </c>
      <c r="V6" s="28">
        <f t="shared" si="12"/>
        <v>-882</v>
      </c>
      <c r="W6" s="36">
        <f t="shared" si="13"/>
        <v>-16.710875331564985</v>
      </c>
      <c r="X6" s="31">
        <v>3707</v>
      </c>
      <c r="Y6" s="28">
        <f t="shared" si="14"/>
        <v>-689</v>
      </c>
      <c r="Z6" s="36">
        <f t="shared" si="15"/>
        <v>-15.673339399454051</v>
      </c>
      <c r="AA6" s="31">
        <v>5826</v>
      </c>
      <c r="AB6" s="28">
        <f t="shared" si="16"/>
        <v>2119</v>
      </c>
      <c r="AC6" s="36">
        <f t="shared" si="17"/>
        <v>57.162125708119774</v>
      </c>
      <c r="AD6" s="31">
        <v>6560</v>
      </c>
      <c r="AE6" s="28">
        <f t="shared" si="18"/>
        <v>734</v>
      </c>
      <c r="AF6" s="36">
        <f t="shared" si="19"/>
        <v>12.598695502917954</v>
      </c>
      <c r="AG6" s="31">
        <v>6870</v>
      </c>
      <c r="AH6" s="2">
        <f t="shared" si="20"/>
        <v>310</v>
      </c>
      <c r="AI6" s="35">
        <f t="shared" si="21"/>
        <v>4.725609756097561</v>
      </c>
    </row>
    <row r="7" spans="1:44" x14ac:dyDescent="0.3">
      <c r="A7" s="42" t="s">
        <v>91</v>
      </c>
      <c r="B7" s="31">
        <v>81</v>
      </c>
      <c r="C7" s="31">
        <v>200</v>
      </c>
      <c r="D7" s="30">
        <f t="shared" si="0"/>
        <v>119</v>
      </c>
      <c r="E7" s="35">
        <f t="shared" si="5"/>
        <v>146.9135802469136</v>
      </c>
      <c r="F7" s="31">
        <v>115</v>
      </c>
      <c r="G7" s="28">
        <f t="shared" si="1"/>
        <v>-85</v>
      </c>
      <c r="H7" s="36">
        <f t="shared" si="2"/>
        <v>-42.5</v>
      </c>
      <c r="I7" s="31">
        <v>105</v>
      </c>
      <c r="J7" s="28">
        <f t="shared" si="3"/>
        <v>-10</v>
      </c>
      <c r="K7" s="36">
        <f t="shared" si="4"/>
        <v>-8.695652173913043</v>
      </c>
      <c r="L7" s="31">
        <v>70</v>
      </c>
      <c r="M7" s="28">
        <f t="shared" si="6"/>
        <v>-35</v>
      </c>
      <c r="N7" s="36">
        <f t="shared" si="7"/>
        <v>-33.333333333333329</v>
      </c>
      <c r="O7" s="31">
        <v>166</v>
      </c>
      <c r="P7" s="28">
        <f t="shared" si="8"/>
        <v>96</v>
      </c>
      <c r="Q7" s="36">
        <f t="shared" si="9"/>
        <v>137.14285714285714</v>
      </c>
      <c r="R7" s="31">
        <v>3195</v>
      </c>
      <c r="S7" s="28">
        <f t="shared" si="10"/>
        <v>3029</v>
      </c>
      <c r="T7" s="36">
        <f t="shared" si="11"/>
        <v>1824.6987951807228</v>
      </c>
      <c r="U7" s="31">
        <v>152</v>
      </c>
      <c r="V7" s="28">
        <f t="shared" si="12"/>
        <v>-3043</v>
      </c>
      <c r="W7" s="36">
        <f t="shared" si="13"/>
        <v>-95.242566510172139</v>
      </c>
      <c r="X7" s="31">
        <v>291</v>
      </c>
      <c r="Y7" s="28">
        <f t="shared" si="14"/>
        <v>139</v>
      </c>
      <c r="Z7" s="36">
        <f t="shared" si="15"/>
        <v>91.44736842105263</v>
      </c>
      <c r="AA7" s="31">
        <v>366</v>
      </c>
      <c r="AB7" s="28">
        <f t="shared" si="16"/>
        <v>75</v>
      </c>
      <c r="AC7" s="36">
        <f t="shared" si="17"/>
        <v>25.773195876288657</v>
      </c>
      <c r="AD7" s="31">
        <v>613</v>
      </c>
      <c r="AE7" s="28">
        <f t="shared" si="18"/>
        <v>247</v>
      </c>
      <c r="AF7" s="36">
        <f t="shared" si="19"/>
        <v>67.486338797814199</v>
      </c>
      <c r="AG7" s="31">
        <v>404</v>
      </c>
      <c r="AH7" s="2">
        <f t="shared" si="20"/>
        <v>-209</v>
      </c>
      <c r="AI7" s="35">
        <f t="shared" si="21"/>
        <v>-34.094616639477977</v>
      </c>
    </row>
    <row r="8" spans="1:44" x14ac:dyDescent="0.3">
      <c r="A8" s="42" t="s">
        <v>92</v>
      </c>
      <c r="B8" s="32">
        <v>160</v>
      </c>
      <c r="C8" s="32">
        <v>257</v>
      </c>
      <c r="D8" s="30">
        <f t="shared" si="0"/>
        <v>97</v>
      </c>
      <c r="E8" s="35">
        <f t="shared" si="5"/>
        <v>60.624999999999993</v>
      </c>
      <c r="F8" s="32">
        <v>67</v>
      </c>
      <c r="G8" s="28">
        <f t="shared" si="1"/>
        <v>-190</v>
      </c>
      <c r="H8" s="36">
        <f t="shared" si="2"/>
        <v>-73.929961089494171</v>
      </c>
      <c r="I8" s="32">
        <v>78</v>
      </c>
      <c r="J8" s="28">
        <f t="shared" si="3"/>
        <v>11</v>
      </c>
      <c r="K8" s="36">
        <f t="shared" si="4"/>
        <v>16.417910447761194</v>
      </c>
      <c r="L8" s="32">
        <v>263</v>
      </c>
      <c r="M8" s="28">
        <f t="shared" si="6"/>
        <v>185</v>
      </c>
      <c r="N8" s="36">
        <f t="shared" si="7"/>
        <v>237.17948717948718</v>
      </c>
      <c r="O8" s="32">
        <v>305</v>
      </c>
      <c r="P8" s="28">
        <f t="shared" si="8"/>
        <v>42</v>
      </c>
      <c r="Q8" s="36">
        <f t="shared" si="9"/>
        <v>15.96958174904943</v>
      </c>
      <c r="R8" s="32">
        <v>74</v>
      </c>
      <c r="S8" s="28">
        <f t="shared" si="10"/>
        <v>-231</v>
      </c>
      <c r="T8" s="36">
        <f t="shared" si="11"/>
        <v>-75.73770491803279</v>
      </c>
      <c r="U8" s="32">
        <v>49</v>
      </c>
      <c r="V8" s="28">
        <f t="shared" si="12"/>
        <v>-25</v>
      </c>
      <c r="W8" s="36">
        <f t="shared" si="13"/>
        <v>-33.783783783783782</v>
      </c>
      <c r="X8" s="32">
        <v>140</v>
      </c>
      <c r="Y8" s="28">
        <f t="shared" si="14"/>
        <v>91</v>
      </c>
      <c r="Z8" s="36">
        <f t="shared" si="15"/>
        <v>185.71428571428572</v>
      </c>
      <c r="AA8" s="32">
        <v>290</v>
      </c>
      <c r="AB8" s="28">
        <f t="shared" si="16"/>
        <v>150</v>
      </c>
      <c r="AC8" s="36">
        <f t="shared" si="17"/>
        <v>107.14285714285714</v>
      </c>
      <c r="AD8" s="32">
        <v>457</v>
      </c>
      <c r="AE8" s="28">
        <f t="shared" si="18"/>
        <v>167</v>
      </c>
      <c r="AF8" s="36">
        <f t="shared" si="19"/>
        <v>57.58620689655173</v>
      </c>
      <c r="AG8" s="32">
        <v>384</v>
      </c>
      <c r="AH8" s="2">
        <f t="shared" si="20"/>
        <v>-73</v>
      </c>
      <c r="AI8" s="35">
        <f t="shared" si="21"/>
        <v>-15.973741794310722</v>
      </c>
    </row>
    <row r="9" spans="1:44" x14ac:dyDescent="0.3">
      <c r="A9" s="42" t="s">
        <v>13</v>
      </c>
      <c r="B9" s="33">
        <v>333</v>
      </c>
      <c r="C9" s="33">
        <v>392</v>
      </c>
      <c r="D9" s="30">
        <f t="shared" si="0"/>
        <v>59</v>
      </c>
      <c r="E9" s="35">
        <f t="shared" si="5"/>
        <v>17.717717717717719</v>
      </c>
      <c r="F9" s="33">
        <v>428</v>
      </c>
      <c r="G9" s="28">
        <f t="shared" si="1"/>
        <v>36</v>
      </c>
      <c r="H9" s="36">
        <f t="shared" si="2"/>
        <v>9.183673469387756</v>
      </c>
      <c r="I9" s="33">
        <v>558</v>
      </c>
      <c r="J9" s="28">
        <f t="shared" si="3"/>
        <v>130</v>
      </c>
      <c r="K9" s="36">
        <f t="shared" si="4"/>
        <v>30.373831775700932</v>
      </c>
      <c r="L9" s="33">
        <v>668</v>
      </c>
      <c r="M9" s="28">
        <f t="shared" si="6"/>
        <v>110</v>
      </c>
      <c r="N9" s="36">
        <f t="shared" si="7"/>
        <v>19.713261648745519</v>
      </c>
      <c r="O9" s="33">
        <v>967</v>
      </c>
      <c r="P9" s="28">
        <f t="shared" si="8"/>
        <v>299</v>
      </c>
      <c r="Q9" s="36">
        <f t="shared" si="9"/>
        <v>44.76047904191617</v>
      </c>
      <c r="R9" s="33">
        <v>1055</v>
      </c>
      <c r="S9" s="28">
        <f t="shared" si="10"/>
        <v>88</v>
      </c>
      <c r="T9" s="36">
        <f t="shared" si="11"/>
        <v>9.1003102378490173</v>
      </c>
      <c r="U9" s="33">
        <v>1127</v>
      </c>
      <c r="V9" s="28">
        <f t="shared" si="12"/>
        <v>72</v>
      </c>
      <c r="W9" s="36">
        <f t="shared" si="13"/>
        <v>6.8246445497630326</v>
      </c>
      <c r="X9" s="33">
        <v>1245</v>
      </c>
      <c r="Y9" s="28">
        <f t="shared" si="14"/>
        <v>118</v>
      </c>
      <c r="Z9" s="36">
        <f t="shared" si="15"/>
        <v>10.470275066548359</v>
      </c>
      <c r="AA9" s="33">
        <v>1522</v>
      </c>
      <c r="AB9" s="28">
        <f t="shared" si="16"/>
        <v>277</v>
      </c>
      <c r="AC9" s="36">
        <f t="shared" si="17"/>
        <v>22.248995983935743</v>
      </c>
      <c r="AD9" s="33">
        <v>1649</v>
      </c>
      <c r="AE9" s="28">
        <f t="shared" si="18"/>
        <v>127</v>
      </c>
      <c r="AF9" s="36">
        <f t="shared" si="19"/>
        <v>8.3442838370565049</v>
      </c>
      <c r="AG9" s="33">
        <v>1778</v>
      </c>
      <c r="AH9" s="2">
        <f t="shared" si="20"/>
        <v>129</v>
      </c>
      <c r="AI9" s="35">
        <f t="shared" si="21"/>
        <v>7.82292298362644</v>
      </c>
    </row>
    <row r="10" spans="1:44" x14ac:dyDescent="0.3">
      <c r="A10" s="42" t="s">
        <v>93</v>
      </c>
      <c r="B10" s="28">
        <v>2168</v>
      </c>
      <c r="C10" s="28">
        <v>2744</v>
      </c>
      <c r="D10" s="30">
        <f t="shared" si="0"/>
        <v>576</v>
      </c>
      <c r="E10" s="35">
        <f t="shared" si="5"/>
        <v>26.568265682656829</v>
      </c>
      <c r="F10" s="28">
        <v>3061</v>
      </c>
      <c r="G10" s="28">
        <f t="shared" si="1"/>
        <v>317</v>
      </c>
      <c r="H10" s="36">
        <f t="shared" si="2"/>
        <v>11.552478134110787</v>
      </c>
      <c r="I10" s="28">
        <v>3241</v>
      </c>
      <c r="J10" s="28">
        <f t="shared" si="3"/>
        <v>180</v>
      </c>
      <c r="K10" s="36">
        <f t="shared" si="4"/>
        <v>5.8804312316236524</v>
      </c>
      <c r="L10" s="28">
        <v>3091</v>
      </c>
      <c r="M10" s="28">
        <f t="shared" si="6"/>
        <v>-150</v>
      </c>
      <c r="N10" s="36">
        <f t="shared" si="7"/>
        <v>-4.6282011724776311</v>
      </c>
      <c r="O10" s="28">
        <v>3743</v>
      </c>
      <c r="P10" s="28">
        <f t="shared" si="8"/>
        <v>652</v>
      </c>
      <c r="Q10" s="36">
        <f t="shared" si="9"/>
        <v>21.09349725008088</v>
      </c>
      <c r="R10" s="28">
        <v>7344</v>
      </c>
      <c r="S10" s="28">
        <f t="shared" si="10"/>
        <v>3601</v>
      </c>
      <c r="T10" s="36">
        <f t="shared" si="11"/>
        <v>96.206251669783597</v>
      </c>
      <c r="U10" s="28">
        <v>3373</v>
      </c>
      <c r="V10" s="28">
        <f t="shared" si="12"/>
        <v>-3971</v>
      </c>
      <c r="W10" s="36">
        <f t="shared" si="13"/>
        <v>-54.071350762527238</v>
      </c>
      <c r="X10" s="28">
        <v>2612</v>
      </c>
      <c r="Y10" s="28">
        <f t="shared" si="14"/>
        <v>-761</v>
      </c>
      <c r="Z10" s="36">
        <f t="shared" si="15"/>
        <v>-22.561517936554996</v>
      </c>
      <c r="AA10" s="28">
        <v>4380</v>
      </c>
      <c r="AB10" s="28">
        <f t="shared" si="16"/>
        <v>1768</v>
      </c>
      <c r="AC10" s="36">
        <f t="shared" si="17"/>
        <v>67.687595712098016</v>
      </c>
      <c r="AD10" s="28">
        <v>5066</v>
      </c>
      <c r="AE10" s="28">
        <f t="shared" si="18"/>
        <v>686</v>
      </c>
      <c r="AF10" s="36">
        <f t="shared" si="19"/>
        <v>15.662100456621006</v>
      </c>
      <c r="AG10" s="28">
        <v>5112</v>
      </c>
      <c r="AH10" s="2">
        <f t="shared" si="20"/>
        <v>46</v>
      </c>
      <c r="AI10" s="35">
        <f t="shared" si="21"/>
        <v>0.90801421239636793</v>
      </c>
    </row>
    <row r="11" spans="1:44" x14ac:dyDescent="0.3">
      <c r="A11" s="42" t="s">
        <v>94</v>
      </c>
      <c r="B11" s="28">
        <v>1571</v>
      </c>
      <c r="C11" s="28">
        <v>2024</v>
      </c>
      <c r="D11" s="30">
        <f t="shared" si="0"/>
        <v>453</v>
      </c>
      <c r="E11" s="35">
        <f t="shared" si="5"/>
        <v>28.83513685550605</v>
      </c>
      <c r="F11" s="28">
        <v>2301</v>
      </c>
      <c r="G11" s="28">
        <f t="shared" si="1"/>
        <v>277</v>
      </c>
      <c r="H11" s="36">
        <f t="shared" si="2"/>
        <v>13.685770750988141</v>
      </c>
      <c r="I11" s="28">
        <v>2423</v>
      </c>
      <c r="J11" s="28">
        <f t="shared" si="3"/>
        <v>122</v>
      </c>
      <c r="K11" s="36">
        <f t="shared" si="4"/>
        <v>5.3020425901781829</v>
      </c>
      <c r="L11" s="28">
        <v>2364</v>
      </c>
      <c r="M11" s="28">
        <f t="shared" si="6"/>
        <v>-59</v>
      </c>
      <c r="N11" s="36">
        <f t="shared" si="7"/>
        <v>-2.4349979364424268</v>
      </c>
      <c r="O11" s="28">
        <v>2844</v>
      </c>
      <c r="P11" s="28">
        <f t="shared" si="8"/>
        <v>480</v>
      </c>
      <c r="Q11" s="36">
        <f t="shared" si="9"/>
        <v>20.304568527918782</v>
      </c>
      <c r="R11" s="28">
        <v>5334</v>
      </c>
      <c r="S11" s="28">
        <f t="shared" si="10"/>
        <v>2490</v>
      </c>
      <c r="T11" s="36">
        <f t="shared" si="11"/>
        <v>87.552742616033754</v>
      </c>
      <c r="U11" s="28">
        <v>2647</v>
      </c>
      <c r="V11" s="28">
        <f t="shared" si="12"/>
        <v>-2687</v>
      </c>
      <c r="W11" s="36">
        <f t="shared" si="13"/>
        <v>-50.374953130858643</v>
      </c>
      <c r="X11" s="28">
        <v>1928</v>
      </c>
      <c r="Y11" s="28">
        <f t="shared" si="14"/>
        <v>-719</v>
      </c>
      <c r="Z11" s="36">
        <f t="shared" si="15"/>
        <v>-27.162825840574236</v>
      </c>
      <c r="AA11" s="28">
        <v>3169</v>
      </c>
      <c r="AB11" s="28">
        <f t="shared" si="16"/>
        <v>1241</v>
      </c>
      <c r="AC11" s="36">
        <f t="shared" si="17"/>
        <v>64.367219917012449</v>
      </c>
      <c r="AD11" s="28">
        <v>3484</v>
      </c>
      <c r="AE11" s="28">
        <f t="shared" si="18"/>
        <v>315</v>
      </c>
      <c r="AF11" s="36">
        <f t="shared" si="19"/>
        <v>9.9400441779741247</v>
      </c>
      <c r="AG11" s="28">
        <v>3503</v>
      </c>
      <c r="AH11" s="2">
        <f t="shared" si="20"/>
        <v>19</v>
      </c>
      <c r="AI11" s="35">
        <f t="shared" si="21"/>
        <v>0.54535017221584381</v>
      </c>
    </row>
    <row r="12" spans="1:44" x14ac:dyDescent="0.3">
      <c r="A12" s="42" t="s">
        <v>95</v>
      </c>
      <c r="B12" s="34">
        <v>26.98</v>
      </c>
      <c r="C12" s="34">
        <v>34.61</v>
      </c>
      <c r="D12" s="30">
        <f t="shared" si="0"/>
        <v>7.629999999999999</v>
      </c>
      <c r="E12" s="35">
        <f t="shared" si="5"/>
        <v>28.280207561156406</v>
      </c>
      <c r="F12" s="34">
        <v>39.29</v>
      </c>
      <c r="G12" s="28">
        <f t="shared" si="1"/>
        <v>4.68</v>
      </c>
      <c r="H12" s="36">
        <f t="shared" si="2"/>
        <v>13.522103438312627</v>
      </c>
      <c r="I12" s="34">
        <v>41.36</v>
      </c>
      <c r="J12" s="28">
        <f t="shared" si="3"/>
        <v>2.0700000000000003</v>
      </c>
      <c r="K12" s="36">
        <f t="shared" si="4"/>
        <v>5.2685161618732508</v>
      </c>
      <c r="L12" s="34">
        <v>40.36</v>
      </c>
      <c r="M12" s="28">
        <f t="shared" si="6"/>
        <v>-1</v>
      </c>
      <c r="N12" s="36">
        <f t="shared" si="7"/>
        <v>-2.4177949709864603</v>
      </c>
      <c r="O12" s="34">
        <v>48.56</v>
      </c>
      <c r="P12" s="28">
        <f t="shared" si="8"/>
        <v>8.2000000000000028</v>
      </c>
      <c r="Q12" s="36">
        <f t="shared" si="9"/>
        <v>20.3171456888008</v>
      </c>
      <c r="R12" s="34">
        <v>91.05</v>
      </c>
      <c r="S12" s="28">
        <f t="shared" si="10"/>
        <v>42.489999999999995</v>
      </c>
      <c r="T12" s="36">
        <f t="shared" si="11"/>
        <v>87.499999999999986</v>
      </c>
      <c r="U12" s="34">
        <v>45.2</v>
      </c>
      <c r="V12" s="28">
        <f t="shared" si="12"/>
        <v>-45.849999999999994</v>
      </c>
      <c r="W12" s="36">
        <f t="shared" si="13"/>
        <v>-50.356946732564523</v>
      </c>
      <c r="X12" s="34">
        <v>32.9</v>
      </c>
      <c r="Y12" s="28">
        <f t="shared" si="14"/>
        <v>-12.300000000000004</v>
      </c>
      <c r="Z12" s="36">
        <f t="shared" si="15"/>
        <v>-27.212389380530983</v>
      </c>
      <c r="AA12" s="34">
        <v>54.15</v>
      </c>
      <c r="AB12" s="28">
        <f t="shared" si="16"/>
        <v>21.25</v>
      </c>
      <c r="AC12" s="36">
        <f t="shared" si="17"/>
        <v>64.589665653495445</v>
      </c>
      <c r="AD12" s="34">
        <v>60.02</v>
      </c>
      <c r="AE12" s="28">
        <f t="shared" si="18"/>
        <v>5.8700000000000045</v>
      </c>
      <c r="AF12" s="36">
        <f t="shared" si="19"/>
        <v>10.840258541089574</v>
      </c>
      <c r="AG12" s="34">
        <v>60.34</v>
      </c>
      <c r="AH12" s="2">
        <f t="shared" si="20"/>
        <v>0.32000000000000028</v>
      </c>
      <c r="AI12" s="35">
        <f t="shared" si="21"/>
        <v>0.53315561479506879</v>
      </c>
    </row>
    <row r="17" spans="1:35" x14ac:dyDescent="0.3">
      <c r="A17" s="51" t="s">
        <v>96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</row>
    <row r="18" spans="1:35" x14ac:dyDescent="0.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</row>
    <row r="20" spans="1:35" x14ac:dyDescent="0.3">
      <c r="A20" s="42" t="s">
        <v>54</v>
      </c>
      <c r="B20" s="43">
        <v>42064</v>
      </c>
      <c r="C20" s="43">
        <v>42430</v>
      </c>
      <c r="D20" s="43" t="s">
        <v>88</v>
      </c>
      <c r="E20" s="43" t="s">
        <v>87</v>
      </c>
      <c r="F20" s="43">
        <v>42795</v>
      </c>
      <c r="G20" s="43" t="s">
        <v>88</v>
      </c>
      <c r="H20" s="43" t="s">
        <v>87</v>
      </c>
      <c r="I20" s="43">
        <v>43160</v>
      </c>
      <c r="J20" s="43" t="s">
        <v>88</v>
      </c>
      <c r="K20" s="43" t="s">
        <v>87</v>
      </c>
      <c r="L20" s="43">
        <v>43525</v>
      </c>
      <c r="M20" s="43" t="s">
        <v>88</v>
      </c>
      <c r="N20" s="43" t="s">
        <v>87</v>
      </c>
      <c r="O20" s="43">
        <v>43891</v>
      </c>
      <c r="P20" s="43" t="s">
        <v>88</v>
      </c>
      <c r="Q20" s="43" t="s">
        <v>87</v>
      </c>
      <c r="R20" s="43">
        <v>44256</v>
      </c>
      <c r="S20" s="43" t="s">
        <v>88</v>
      </c>
      <c r="T20" s="43" t="s">
        <v>87</v>
      </c>
      <c r="U20" s="43">
        <v>44621</v>
      </c>
      <c r="V20" s="43" t="s">
        <v>88</v>
      </c>
      <c r="W20" s="43" t="s">
        <v>87</v>
      </c>
      <c r="X20" s="43">
        <v>44986</v>
      </c>
      <c r="Y20" s="43" t="s">
        <v>88</v>
      </c>
      <c r="Z20" s="43" t="s">
        <v>87</v>
      </c>
      <c r="AA20" s="43">
        <v>45352</v>
      </c>
      <c r="AB20" s="44" t="s">
        <v>88</v>
      </c>
      <c r="AC20" s="44" t="s">
        <v>87</v>
      </c>
      <c r="AD20" s="44">
        <v>45717</v>
      </c>
      <c r="AE20" s="44" t="s">
        <v>88</v>
      </c>
      <c r="AF20" s="44" t="s">
        <v>87</v>
      </c>
      <c r="AG20" s="43">
        <v>46082</v>
      </c>
      <c r="AH20" s="42" t="s">
        <v>88</v>
      </c>
      <c r="AI20" s="43" t="s">
        <v>87</v>
      </c>
    </row>
    <row r="21" spans="1:35" x14ac:dyDescent="0.3">
      <c r="A21" s="42" t="s">
        <v>25</v>
      </c>
      <c r="B21" s="37">
        <v>29</v>
      </c>
      <c r="C21" s="37">
        <v>59</v>
      </c>
      <c r="D21" s="37">
        <f>C21-B21</f>
        <v>30</v>
      </c>
      <c r="E21" s="39">
        <f>(C21-B21)/B21*100</f>
        <v>103.44827586206897</v>
      </c>
      <c r="F21" s="37">
        <v>59</v>
      </c>
      <c r="G21" s="37">
        <f>F21-C21</f>
        <v>0</v>
      </c>
      <c r="H21" s="39">
        <f>(F21-C21)/C21*100</f>
        <v>0</v>
      </c>
      <c r="I21" s="37">
        <v>59</v>
      </c>
      <c r="J21" s="37">
        <f>I21-F21</f>
        <v>0</v>
      </c>
      <c r="K21" s="39">
        <f>(I21-F21)/F21*100</f>
        <v>0</v>
      </c>
      <c r="L21" s="37">
        <v>59</v>
      </c>
      <c r="M21" s="37">
        <f>L21-I21</f>
        <v>0</v>
      </c>
      <c r="N21" s="35">
        <f>(L21-I21)/I21*100</f>
        <v>0</v>
      </c>
      <c r="O21" s="30">
        <v>59</v>
      </c>
      <c r="P21" s="2">
        <f>O21-L21</f>
        <v>0</v>
      </c>
      <c r="Q21" s="35">
        <f>(O21-L21)/L21*100</f>
        <v>0</v>
      </c>
      <c r="R21" s="30">
        <v>59</v>
      </c>
      <c r="S21" s="30">
        <f>R21-O21</f>
        <v>0</v>
      </c>
      <c r="T21" s="35">
        <f>(R21-O21)/O21*100</f>
        <v>0</v>
      </c>
      <c r="U21" s="30">
        <v>59</v>
      </c>
      <c r="V21" s="30">
        <f>U21-R21</f>
        <v>0</v>
      </c>
      <c r="W21" s="35">
        <f>(U21-R21)/R21*100</f>
        <v>0</v>
      </c>
      <c r="X21" s="30">
        <v>59</v>
      </c>
      <c r="Y21" s="30">
        <f>X21-U21</f>
        <v>0</v>
      </c>
      <c r="Z21" s="35">
        <f>(X21-U21)/U21*100</f>
        <v>0</v>
      </c>
      <c r="AA21" s="30">
        <v>59</v>
      </c>
      <c r="AB21" s="30">
        <f>AA21-X21</f>
        <v>0</v>
      </c>
      <c r="AC21" s="35">
        <f>(AA21-X21)/X21*100</f>
        <v>0</v>
      </c>
      <c r="AD21" s="30">
        <v>58</v>
      </c>
      <c r="AE21" s="30">
        <f>AD21-AA21</f>
        <v>-1</v>
      </c>
      <c r="AF21" s="35">
        <f>(AD21-AA21)/AA21*100</f>
        <v>-1.6949152542372881</v>
      </c>
      <c r="AG21" s="30">
        <v>58</v>
      </c>
      <c r="AH21" s="30">
        <f>AG21-AD21</f>
        <v>0</v>
      </c>
      <c r="AI21" s="35">
        <f>(AG21-AD21)/AD21*100</f>
        <v>0</v>
      </c>
    </row>
    <row r="22" spans="1:35" x14ac:dyDescent="0.3">
      <c r="A22" s="42" t="s">
        <v>26</v>
      </c>
      <c r="B22" s="38">
        <v>5127</v>
      </c>
      <c r="C22" s="38">
        <v>7229</v>
      </c>
      <c r="D22" s="37">
        <f t="shared" ref="D22:D34" si="22">C22-B22</f>
        <v>2102</v>
      </c>
      <c r="E22" s="39">
        <f t="shared" ref="E22:E34" si="23">(C22-B22)/B22*100</f>
        <v>40.998634679149596</v>
      </c>
      <c r="F22" s="38">
        <v>9313</v>
      </c>
      <c r="G22" s="37">
        <f t="shared" ref="G22:G34" si="24">F22-C22</f>
        <v>2084</v>
      </c>
      <c r="H22" s="39">
        <f t="shared" ref="H22:H34" si="25">(F22-C22)/C22*100</f>
        <v>28.828330336146081</v>
      </c>
      <c r="I22" s="38">
        <v>11622</v>
      </c>
      <c r="J22" s="37">
        <f t="shared" ref="J22:J34" si="26">I22-F22</f>
        <v>2309</v>
      </c>
      <c r="K22" s="39">
        <f t="shared" ref="K22:K34" si="27">(I22-F22)/F22*100</f>
        <v>24.793299688607323</v>
      </c>
      <c r="L22" s="38">
        <v>13832</v>
      </c>
      <c r="M22" s="37">
        <f t="shared" ref="M22:M34" si="28">L22-I22</f>
        <v>2210</v>
      </c>
      <c r="N22" s="35">
        <f t="shared" ref="N22:N34" si="29">(L22-I22)/I22*100</f>
        <v>19.015659955257274</v>
      </c>
      <c r="O22" s="2">
        <v>16766</v>
      </c>
      <c r="P22" s="2">
        <f t="shared" ref="P22:P34" si="30">O22-L22</f>
        <v>2934</v>
      </c>
      <c r="Q22" s="35">
        <f t="shared" ref="Q22:Q34" si="31">(O22-L22)/L22*100</f>
        <v>21.211683053788317</v>
      </c>
      <c r="R22" s="2">
        <v>21871</v>
      </c>
      <c r="S22" s="30">
        <f t="shared" ref="S22:S34" si="32">R22-O22</f>
        <v>5105</v>
      </c>
      <c r="T22" s="35">
        <f t="shared" ref="T22:T34" si="33">(R22-O22)/O22*100</f>
        <v>30.448526780388885</v>
      </c>
      <c r="U22" s="2">
        <v>24517</v>
      </c>
      <c r="V22" s="30">
        <f t="shared" ref="V22:V34" si="34">U22-R22</f>
        <v>2646</v>
      </c>
      <c r="W22" s="35">
        <f t="shared" ref="W22:W34" si="35">(U22-R22)/R22*100</f>
        <v>12.098212244524714</v>
      </c>
      <c r="X22" s="2">
        <v>26781</v>
      </c>
      <c r="Y22" s="30">
        <f t="shared" ref="Y22:Y34" si="36">X22-U22</f>
        <v>2264</v>
      </c>
      <c r="Z22" s="35">
        <f t="shared" ref="Z22:Z34" si="37">(X22-U22)/U22*100</f>
        <v>9.2344087775829014</v>
      </c>
      <c r="AA22" s="2">
        <v>29784</v>
      </c>
      <c r="AB22" s="30">
        <f t="shared" ref="AB22:AB34" si="38">AA22-X22</f>
        <v>3003</v>
      </c>
      <c r="AC22" s="35">
        <f t="shared" ref="AC22:AC34" si="39">(AA22-X22)/X22*100</f>
        <v>11.213173518539262</v>
      </c>
      <c r="AD22" s="2">
        <v>32595</v>
      </c>
      <c r="AE22" s="30">
        <f t="shared" ref="AE22:AE34" si="40">AD22-AA22</f>
        <v>2811</v>
      </c>
      <c r="AF22" s="35">
        <f t="shared" ref="AF22:AF34" si="41">(AD22-AA22)/AA22*100</f>
        <v>9.4379532634971799</v>
      </c>
      <c r="AG22" s="2">
        <v>37833</v>
      </c>
      <c r="AH22" s="30">
        <f t="shared" ref="AH22:AH34" si="42">AG22-AD22</f>
        <v>5238</v>
      </c>
      <c r="AI22" s="35">
        <f t="shared" ref="AI22:AI34" si="43">(AG22-AD22)/AD22*100</f>
        <v>16.069949378739071</v>
      </c>
    </row>
    <row r="23" spans="1:35" x14ac:dyDescent="0.3">
      <c r="A23" s="42" t="s">
        <v>66</v>
      </c>
      <c r="B23" s="37">
        <v>4451</v>
      </c>
      <c r="C23" s="37">
        <v>5041</v>
      </c>
      <c r="D23" s="37">
        <f t="shared" si="22"/>
        <v>590</v>
      </c>
      <c r="E23" s="39">
        <f t="shared" si="23"/>
        <v>13.255448213884522</v>
      </c>
      <c r="F23" s="37">
        <v>3364</v>
      </c>
      <c r="G23" s="37">
        <f t="shared" si="24"/>
        <v>-1677</v>
      </c>
      <c r="H23" s="39">
        <f t="shared" si="25"/>
        <v>-33.26720888712557</v>
      </c>
      <c r="I23" s="37">
        <v>4770</v>
      </c>
      <c r="J23" s="37">
        <f t="shared" si="26"/>
        <v>1406</v>
      </c>
      <c r="K23" s="39">
        <f t="shared" si="27"/>
        <v>41.795481569560053</v>
      </c>
      <c r="L23" s="37">
        <v>6967</v>
      </c>
      <c r="M23" s="37">
        <f t="shared" si="28"/>
        <v>2197</v>
      </c>
      <c r="N23" s="35">
        <f t="shared" si="29"/>
        <v>46.058700209643604</v>
      </c>
      <c r="O23" s="2">
        <v>5826</v>
      </c>
      <c r="P23" s="2">
        <f t="shared" si="30"/>
        <v>-1141</v>
      </c>
      <c r="Q23" s="35">
        <f t="shared" si="31"/>
        <v>-16.377206832208984</v>
      </c>
      <c r="R23" s="2">
        <v>5339</v>
      </c>
      <c r="S23" s="30">
        <f t="shared" si="32"/>
        <v>-487</v>
      </c>
      <c r="T23" s="35">
        <f t="shared" si="33"/>
        <v>-8.3590799862684513</v>
      </c>
      <c r="U23" s="2">
        <v>2851</v>
      </c>
      <c r="V23" s="30">
        <f t="shared" si="34"/>
        <v>-2488</v>
      </c>
      <c r="W23" s="35">
        <f t="shared" si="35"/>
        <v>-46.60048698258101</v>
      </c>
      <c r="X23" s="2">
        <v>5286</v>
      </c>
      <c r="Y23" s="30">
        <f t="shared" si="36"/>
        <v>2435</v>
      </c>
      <c r="Z23" s="35">
        <f t="shared" si="37"/>
        <v>85.408628551385476</v>
      </c>
      <c r="AA23" s="2">
        <v>6648</v>
      </c>
      <c r="AB23" s="30">
        <f t="shared" si="38"/>
        <v>1362</v>
      </c>
      <c r="AC23" s="35">
        <f t="shared" si="39"/>
        <v>25.766174801362091</v>
      </c>
      <c r="AD23" s="2">
        <v>8263</v>
      </c>
      <c r="AE23" s="30">
        <f t="shared" si="40"/>
        <v>1615</v>
      </c>
      <c r="AF23" s="35">
        <f t="shared" si="41"/>
        <v>24.293020457280385</v>
      </c>
      <c r="AG23" s="2">
        <v>8073</v>
      </c>
      <c r="AH23" s="30">
        <f t="shared" si="42"/>
        <v>-190</v>
      </c>
      <c r="AI23" s="35">
        <f t="shared" si="43"/>
        <v>-2.2994069950381215</v>
      </c>
    </row>
    <row r="24" spans="1:35" x14ac:dyDescent="0.3">
      <c r="A24" s="42" t="s">
        <v>67</v>
      </c>
      <c r="B24" s="37">
        <v>3303</v>
      </c>
      <c r="C24" s="37">
        <v>3568</v>
      </c>
      <c r="D24" s="37">
        <f t="shared" si="22"/>
        <v>265</v>
      </c>
      <c r="E24" s="39">
        <f t="shared" si="23"/>
        <v>8.0230093854072049</v>
      </c>
      <c r="F24" s="37">
        <v>3464</v>
      </c>
      <c r="G24" s="37">
        <f t="shared" si="24"/>
        <v>-104</v>
      </c>
      <c r="H24" s="39">
        <f t="shared" si="25"/>
        <v>-2.9147982062780269</v>
      </c>
      <c r="I24" s="37">
        <v>4492</v>
      </c>
      <c r="J24" s="37">
        <f t="shared" si="26"/>
        <v>1028</v>
      </c>
      <c r="K24" s="39">
        <f t="shared" si="27"/>
        <v>29.676674364896073</v>
      </c>
      <c r="L24" s="37">
        <v>5414</v>
      </c>
      <c r="M24" s="37">
        <f t="shared" si="28"/>
        <v>922</v>
      </c>
      <c r="N24" s="35">
        <f t="shared" si="29"/>
        <v>20.525378450578806</v>
      </c>
      <c r="O24" s="2">
        <v>6113</v>
      </c>
      <c r="P24" s="2">
        <f t="shared" si="30"/>
        <v>699</v>
      </c>
      <c r="Q24" s="35">
        <f t="shared" si="31"/>
        <v>12.910971555227189</v>
      </c>
      <c r="R24" s="2">
        <v>6147</v>
      </c>
      <c r="S24" s="30">
        <f t="shared" si="32"/>
        <v>34</v>
      </c>
      <c r="T24" s="35">
        <f t="shared" si="33"/>
        <v>0.55619172255848193</v>
      </c>
      <c r="U24" s="2">
        <v>6211</v>
      </c>
      <c r="V24" s="30">
        <f t="shared" si="34"/>
        <v>64</v>
      </c>
      <c r="W24" s="35">
        <f t="shared" si="35"/>
        <v>1.0411582885960631</v>
      </c>
      <c r="X24" s="2">
        <v>7379</v>
      </c>
      <c r="Y24" s="30">
        <f t="shared" si="36"/>
        <v>1168</v>
      </c>
      <c r="Z24" s="35">
        <f t="shared" si="37"/>
        <v>18.805345355015294</v>
      </c>
      <c r="AA24" s="2">
        <v>8227</v>
      </c>
      <c r="AB24" s="30">
        <f t="shared" si="38"/>
        <v>848</v>
      </c>
      <c r="AC24" s="35">
        <f t="shared" si="39"/>
        <v>11.492072096490039</v>
      </c>
      <c r="AD24" s="2">
        <v>8566</v>
      </c>
      <c r="AE24" s="30">
        <f t="shared" si="40"/>
        <v>339</v>
      </c>
      <c r="AF24" s="35">
        <f t="shared" si="41"/>
        <v>4.1205785827154493</v>
      </c>
      <c r="AG24" s="2">
        <v>12232</v>
      </c>
      <c r="AH24" s="30">
        <f t="shared" si="42"/>
        <v>3666</v>
      </c>
      <c r="AI24" s="35">
        <f t="shared" si="43"/>
        <v>42.797104833060942</v>
      </c>
    </row>
    <row r="25" spans="1:35" x14ac:dyDescent="0.3">
      <c r="A25" s="42" t="s">
        <v>124</v>
      </c>
      <c r="B25" s="38">
        <v>12910</v>
      </c>
      <c r="C25" s="38">
        <v>15896</v>
      </c>
      <c r="D25" s="37">
        <f t="shared" si="22"/>
        <v>2986</v>
      </c>
      <c r="E25" s="39">
        <f t="shared" si="23"/>
        <v>23.129357087529048</v>
      </c>
      <c r="F25" s="38">
        <v>16200</v>
      </c>
      <c r="G25" s="37">
        <f t="shared" si="24"/>
        <v>304</v>
      </c>
      <c r="H25" s="39">
        <f t="shared" si="25"/>
        <v>1.9124308002013084</v>
      </c>
      <c r="I25" s="38">
        <v>20942</v>
      </c>
      <c r="J25" s="37">
        <f t="shared" si="26"/>
        <v>4742</v>
      </c>
      <c r="K25" s="39">
        <f t="shared" si="27"/>
        <v>29.271604938271604</v>
      </c>
      <c r="L25" s="38">
        <v>26271</v>
      </c>
      <c r="M25" s="37">
        <f t="shared" si="28"/>
        <v>5329</v>
      </c>
      <c r="N25" s="35">
        <f t="shared" si="29"/>
        <v>25.446471206188519</v>
      </c>
      <c r="O25" s="2">
        <v>28765</v>
      </c>
      <c r="P25" s="2">
        <f t="shared" si="30"/>
        <v>2494</v>
      </c>
      <c r="Q25" s="35">
        <f t="shared" si="31"/>
        <v>9.4933576947965435</v>
      </c>
      <c r="R25" s="2">
        <v>33416</v>
      </c>
      <c r="S25" s="30">
        <f t="shared" si="32"/>
        <v>4651</v>
      </c>
      <c r="T25" s="35">
        <f t="shared" si="33"/>
        <v>16.168955327655134</v>
      </c>
      <c r="U25" s="2">
        <v>33638</v>
      </c>
      <c r="V25" s="30">
        <f t="shared" si="34"/>
        <v>222</v>
      </c>
      <c r="W25" s="35">
        <f t="shared" si="35"/>
        <v>0.66435240603303813</v>
      </c>
      <c r="X25" s="2">
        <v>39505</v>
      </c>
      <c r="Y25" s="30">
        <f t="shared" si="36"/>
        <v>5867</v>
      </c>
      <c r="Z25" s="35">
        <f t="shared" si="37"/>
        <v>17.441583922944289</v>
      </c>
      <c r="AA25" s="2">
        <v>44717</v>
      </c>
      <c r="AB25" s="30">
        <f t="shared" si="38"/>
        <v>5212</v>
      </c>
      <c r="AC25" s="35">
        <f t="shared" si="39"/>
        <v>13.193266675104418</v>
      </c>
      <c r="AD25" s="2">
        <v>49482</v>
      </c>
      <c r="AE25" s="30">
        <f t="shared" si="40"/>
        <v>4765</v>
      </c>
      <c r="AF25" s="35">
        <f t="shared" si="41"/>
        <v>10.655902676834314</v>
      </c>
      <c r="AG25" s="2">
        <v>58196</v>
      </c>
      <c r="AH25" s="30">
        <f t="shared" si="42"/>
        <v>8714</v>
      </c>
      <c r="AI25" s="35">
        <f t="shared" si="43"/>
        <v>17.610444201932015</v>
      </c>
    </row>
    <row r="26" spans="1:35" x14ac:dyDescent="0.3">
      <c r="A26" s="42" t="s">
        <v>68</v>
      </c>
      <c r="B26" s="37">
        <v>3706</v>
      </c>
      <c r="C26" s="37">
        <v>4180</v>
      </c>
      <c r="D26" s="37">
        <f t="shared" si="22"/>
        <v>474</v>
      </c>
      <c r="E26" s="39">
        <f t="shared" si="23"/>
        <v>12.790070156502969</v>
      </c>
      <c r="F26" s="37">
        <v>4834</v>
      </c>
      <c r="G26" s="37">
        <f t="shared" si="24"/>
        <v>654</v>
      </c>
      <c r="H26" s="39">
        <f t="shared" si="25"/>
        <v>15.645933014354066</v>
      </c>
      <c r="I26" s="37">
        <v>6521</v>
      </c>
      <c r="J26" s="37">
        <f t="shared" si="26"/>
        <v>1687</v>
      </c>
      <c r="K26" s="39">
        <f t="shared" si="27"/>
        <v>34.898634671079854</v>
      </c>
      <c r="L26" s="37">
        <v>8475</v>
      </c>
      <c r="M26" s="37">
        <f t="shared" si="28"/>
        <v>1954</v>
      </c>
      <c r="N26" s="35">
        <f t="shared" si="29"/>
        <v>29.964729335991414</v>
      </c>
      <c r="O26" s="2">
        <v>9396</v>
      </c>
      <c r="P26" s="2">
        <f t="shared" si="30"/>
        <v>921</v>
      </c>
      <c r="Q26" s="35">
        <f t="shared" si="31"/>
        <v>10.867256637168142</v>
      </c>
      <c r="R26" s="2">
        <v>9374</v>
      </c>
      <c r="S26" s="30">
        <f t="shared" si="32"/>
        <v>-22</v>
      </c>
      <c r="T26" s="35">
        <f t="shared" si="33"/>
        <v>-0.23414218816517665</v>
      </c>
      <c r="U26" s="2">
        <v>10532</v>
      </c>
      <c r="V26" s="30">
        <f t="shared" si="34"/>
        <v>1158</v>
      </c>
      <c r="W26" s="35">
        <f t="shared" si="35"/>
        <v>12.35331768721997</v>
      </c>
      <c r="X26" s="2">
        <v>11024</v>
      </c>
      <c r="Y26" s="30">
        <f t="shared" si="36"/>
        <v>492</v>
      </c>
      <c r="Z26" s="35">
        <f t="shared" si="37"/>
        <v>4.67147740220281</v>
      </c>
      <c r="AA26" s="2">
        <v>14493</v>
      </c>
      <c r="AB26" s="30">
        <f t="shared" si="38"/>
        <v>3469</v>
      </c>
      <c r="AC26" s="35">
        <f t="shared" si="39"/>
        <v>31.467706821480405</v>
      </c>
      <c r="AD26" s="2">
        <v>14794</v>
      </c>
      <c r="AE26" s="30">
        <f t="shared" si="40"/>
        <v>301</v>
      </c>
      <c r="AF26" s="35">
        <f t="shared" si="41"/>
        <v>2.0768646933002137</v>
      </c>
      <c r="AG26" s="2">
        <v>17407</v>
      </c>
      <c r="AH26" s="30">
        <f t="shared" si="42"/>
        <v>2613</v>
      </c>
      <c r="AI26" s="35">
        <f t="shared" si="43"/>
        <v>17.66256590509666</v>
      </c>
    </row>
    <row r="27" spans="1:35" x14ac:dyDescent="0.3">
      <c r="A27" s="42" t="s">
        <v>42</v>
      </c>
      <c r="B27" s="38">
        <v>1034</v>
      </c>
      <c r="C27" s="38">
        <v>844</v>
      </c>
      <c r="D27" s="37">
        <f t="shared" si="22"/>
        <v>-190</v>
      </c>
      <c r="E27" s="39">
        <f t="shared" si="23"/>
        <v>-18.375241779497099</v>
      </c>
      <c r="F27" s="38">
        <v>836</v>
      </c>
      <c r="G27" s="37">
        <f t="shared" si="24"/>
        <v>-8</v>
      </c>
      <c r="H27" s="39">
        <f t="shared" si="25"/>
        <v>-0.94786729857819907</v>
      </c>
      <c r="I27" s="38">
        <v>1974</v>
      </c>
      <c r="J27" s="37">
        <f t="shared" si="26"/>
        <v>1138</v>
      </c>
      <c r="K27" s="39">
        <f t="shared" si="27"/>
        <v>136.1244019138756</v>
      </c>
      <c r="L27" s="38">
        <v>3069</v>
      </c>
      <c r="M27" s="37">
        <f t="shared" si="28"/>
        <v>1095</v>
      </c>
      <c r="N27" s="35">
        <f t="shared" si="29"/>
        <v>55.471124620060785</v>
      </c>
      <c r="O27" s="2">
        <v>3464</v>
      </c>
      <c r="P27" s="2">
        <f t="shared" si="30"/>
        <v>395</v>
      </c>
      <c r="Q27" s="35">
        <f t="shared" si="31"/>
        <v>12.870641902899967</v>
      </c>
      <c r="R27" s="2">
        <v>3581</v>
      </c>
      <c r="S27" s="30">
        <f t="shared" si="32"/>
        <v>117</v>
      </c>
      <c r="T27" s="35">
        <f t="shared" si="33"/>
        <v>3.3775981524249423</v>
      </c>
      <c r="U27" s="2">
        <v>3928</v>
      </c>
      <c r="V27" s="30">
        <f t="shared" si="34"/>
        <v>347</v>
      </c>
      <c r="W27" s="35">
        <f t="shared" si="35"/>
        <v>9.6900307176766276</v>
      </c>
      <c r="X27" s="2">
        <v>5039</v>
      </c>
      <c r="Y27" s="30">
        <f t="shared" si="36"/>
        <v>1111</v>
      </c>
      <c r="Z27" s="35">
        <f t="shared" si="37"/>
        <v>28.284114052953157</v>
      </c>
      <c r="AA27" s="2">
        <v>5530</v>
      </c>
      <c r="AB27" s="30">
        <f t="shared" si="38"/>
        <v>491</v>
      </c>
      <c r="AC27" s="35">
        <f t="shared" si="39"/>
        <v>9.7439968247668194</v>
      </c>
      <c r="AD27" s="2">
        <v>5735</v>
      </c>
      <c r="AE27" s="30">
        <f t="shared" si="40"/>
        <v>205</v>
      </c>
      <c r="AF27" s="35">
        <f t="shared" si="41"/>
        <v>3.7070524412296564</v>
      </c>
      <c r="AG27" s="2">
        <v>7017</v>
      </c>
      <c r="AH27" s="30">
        <f t="shared" si="42"/>
        <v>1282</v>
      </c>
      <c r="AI27" s="35">
        <f t="shared" si="43"/>
        <v>22.353966870095903</v>
      </c>
    </row>
    <row r="28" spans="1:35" x14ac:dyDescent="0.3">
      <c r="A28" s="42" t="s">
        <v>46</v>
      </c>
      <c r="B28" s="38">
        <v>420</v>
      </c>
      <c r="C28" s="38">
        <v>848</v>
      </c>
      <c r="D28" s="37">
        <f t="shared" si="22"/>
        <v>428</v>
      </c>
      <c r="E28" s="39">
        <f t="shared" si="23"/>
        <v>101.9047619047619</v>
      </c>
      <c r="F28" s="38">
        <v>1458</v>
      </c>
      <c r="G28" s="37">
        <f t="shared" si="24"/>
        <v>610</v>
      </c>
      <c r="H28" s="39">
        <f t="shared" si="25"/>
        <v>71.933962264150935</v>
      </c>
      <c r="I28" s="38">
        <v>1583</v>
      </c>
      <c r="J28" s="37">
        <f t="shared" si="26"/>
        <v>125</v>
      </c>
      <c r="K28" s="39">
        <f t="shared" si="27"/>
        <v>8.5733882030178332</v>
      </c>
      <c r="L28" s="38">
        <v>1668</v>
      </c>
      <c r="M28" s="37">
        <f t="shared" si="28"/>
        <v>85</v>
      </c>
      <c r="N28" s="35">
        <f t="shared" si="29"/>
        <v>5.3695514845230576</v>
      </c>
      <c r="O28" s="2">
        <v>1986</v>
      </c>
      <c r="P28" s="2">
        <f t="shared" si="30"/>
        <v>318</v>
      </c>
      <c r="Q28" s="35">
        <f t="shared" si="31"/>
        <v>19.064748201438849</v>
      </c>
      <c r="R28" s="2">
        <v>3062</v>
      </c>
      <c r="S28" s="30">
        <f t="shared" si="32"/>
        <v>1076</v>
      </c>
      <c r="T28" s="35">
        <f t="shared" si="33"/>
        <v>54.179254783484389</v>
      </c>
      <c r="U28" s="2">
        <v>3747</v>
      </c>
      <c r="V28" s="30">
        <f t="shared" si="34"/>
        <v>685</v>
      </c>
      <c r="W28" s="35">
        <f t="shared" si="35"/>
        <v>22.370999346832136</v>
      </c>
      <c r="X28" s="2">
        <v>5390</v>
      </c>
      <c r="Y28" s="30">
        <f t="shared" si="36"/>
        <v>1643</v>
      </c>
      <c r="Z28" s="35">
        <f t="shared" si="37"/>
        <v>43.848412062983719</v>
      </c>
      <c r="AA28" s="2">
        <v>3869</v>
      </c>
      <c r="AB28" s="30">
        <f t="shared" si="38"/>
        <v>-1521</v>
      </c>
      <c r="AC28" s="35">
        <f t="shared" si="39"/>
        <v>-28.218923933209648</v>
      </c>
      <c r="AD28" s="2">
        <v>4900</v>
      </c>
      <c r="AE28" s="30">
        <f t="shared" si="40"/>
        <v>1031</v>
      </c>
      <c r="AF28" s="35">
        <f t="shared" si="41"/>
        <v>26.647712587231844</v>
      </c>
      <c r="AG28" s="2">
        <v>5214</v>
      </c>
      <c r="AH28" s="30">
        <f t="shared" si="42"/>
        <v>314</v>
      </c>
      <c r="AI28" s="35">
        <f t="shared" si="43"/>
        <v>6.4081632653061229</v>
      </c>
    </row>
    <row r="29" spans="1:35" x14ac:dyDescent="0.3">
      <c r="A29" s="42" t="s">
        <v>47</v>
      </c>
      <c r="B29" s="37">
        <v>20</v>
      </c>
      <c r="C29" s="37">
        <v>123</v>
      </c>
      <c r="D29" s="37">
        <f t="shared" si="22"/>
        <v>103</v>
      </c>
      <c r="E29" s="39">
        <f t="shared" si="23"/>
        <v>515</v>
      </c>
      <c r="F29" s="37">
        <v>246</v>
      </c>
      <c r="G29" s="37">
        <f t="shared" si="24"/>
        <v>123</v>
      </c>
      <c r="H29" s="39">
        <f t="shared" si="25"/>
        <v>100</v>
      </c>
      <c r="I29" s="37">
        <v>312</v>
      </c>
      <c r="J29" s="37">
        <f t="shared" si="26"/>
        <v>66</v>
      </c>
      <c r="K29" s="39">
        <f t="shared" si="27"/>
        <v>26.829268292682929</v>
      </c>
      <c r="L29" s="37">
        <v>360</v>
      </c>
      <c r="M29" s="37">
        <f t="shared" si="28"/>
        <v>48</v>
      </c>
      <c r="N29" s="35">
        <f t="shared" si="29"/>
        <v>15.384615384615385</v>
      </c>
      <c r="O29" s="30">
        <v>555</v>
      </c>
      <c r="P29" s="2">
        <f t="shared" si="30"/>
        <v>195</v>
      </c>
      <c r="Q29" s="35">
        <f t="shared" si="31"/>
        <v>54.166666666666664</v>
      </c>
      <c r="R29" s="30">
        <v>591</v>
      </c>
      <c r="S29" s="30">
        <f t="shared" si="32"/>
        <v>36</v>
      </c>
      <c r="T29" s="35">
        <f t="shared" si="33"/>
        <v>6.4864864864864868</v>
      </c>
      <c r="U29" s="30">
        <v>997</v>
      </c>
      <c r="V29" s="30">
        <f t="shared" si="34"/>
        <v>406</v>
      </c>
      <c r="W29" s="35">
        <f t="shared" si="35"/>
        <v>68.697123519458543</v>
      </c>
      <c r="X29" s="30">
        <v>543</v>
      </c>
      <c r="Y29" s="30">
        <f t="shared" si="36"/>
        <v>-454</v>
      </c>
      <c r="Z29" s="35">
        <f t="shared" si="37"/>
        <v>-45.536609829488469</v>
      </c>
      <c r="AA29" s="30">
        <v>372</v>
      </c>
      <c r="AB29" s="30">
        <f t="shared" si="38"/>
        <v>-171</v>
      </c>
      <c r="AC29" s="35">
        <f t="shared" si="39"/>
        <v>-31.491712707182316</v>
      </c>
      <c r="AD29" s="30">
        <v>252</v>
      </c>
      <c r="AE29" s="30">
        <f t="shared" si="40"/>
        <v>-120</v>
      </c>
      <c r="AF29" s="35">
        <f t="shared" si="41"/>
        <v>-32.258064516129032</v>
      </c>
      <c r="AG29" s="2">
        <v>1051</v>
      </c>
      <c r="AH29" s="30">
        <f t="shared" si="42"/>
        <v>799</v>
      </c>
      <c r="AI29" s="35">
        <f t="shared" si="43"/>
        <v>317.06349206349205</v>
      </c>
    </row>
    <row r="30" spans="1:35" x14ac:dyDescent="0.3">
      <c r="A30" s="42" t="s">
        <v>69</v>
      </c>
      <c r="B30" s="38">
        <v>8765</v>
      </c>
      <c r="C30" s="38">
        <v>10745</v>
      </c>
      <c r="D30" s="37">
        <f t="shared" si="22"/>
        <v>1980</v>
      </c>
      <c r="E30" s="39">
        <f t="shared" si="23"/>
        <v>22.589845978322877</v>
      </c>
      <c r="F30" s="38">
        <v>9662</v>
      </c>
      <c r="G30" s="37">
        <f t="shared" si="24"/>
        <v>-1083</v>
      </c>
      <c r="H30" s="39">
        <f t="shared" si="25"/>
        <v>-10.079106561191251</v>
      </c>
      <c r="I30" s="38">
        <v>12527</v>
      </c>
      <c r="J30" s="37">
        <f t="shared" si="26"/>
        <v>2865</v>
      </c>
      <c r="K30" s="39">
        <f t="shared" si="27"/>
        <v>29.652245911819499</v>
      </c>
      <c r="L30" s="38">
        <v>15768</v>
      </c>
      <c r="M30" s="37">
        <f t="shared" si="28"/>
        <v>3241</v>
      </c>
      <c r="N30" s="35">
        <f t="shared" si="29"/>
        <v>25.87211622894548</v>
      </c>
      <c r="O30" s="2">
        <v>16827</v>
      </c>
      <c r="P30" s="2">
        <f t="shared" si="30"/>
        <v>1059</v>
      </c>
      <c r="Q30" s="35">
        <f t="shared" si="31"/>
        <v>6.7161339421613402</v>
      </c>
      <c r="R30" s="2">
        <v>20390</v>
      </c>
      <c r="S30" s="30">
        <f t="shared" si="32"/>
        <v>3563</v>
      </c>
      <c r="T30" s="35">
        <f t="shared" si="33"/>
        <v>21.174303203185357</v>
      </c>
      <c r="U30" s="2">
        <v>18362</v>
      </c>
      <c r="V30" s="30">
        <f t="shared" si="34"/>
        <v>-2028</v>
      </c>
      <c r="W30" s="35">
        <f t="shared" si="35"/>
        <v>-9.9460519862677792</v>
      </c>
      <c r="X30" s="2">
        <v>22549</v>
      </c>
      <c r="Y30" s="30">
        <f t="shared" si="36"/>
        <v>4187</v>
      </c>
      <c r="Z30" s="35">
        <f t="shared" si="37"/>
        <v>22.802526957847729</v>
      </c>
      <c r="AA30" s="2">
        <v>25983</v>
      </c>
      <c r="AB30" s="30">
        <f t="shared" si="38"/>
        <v>3434</v>
      </c>
      <c r="AC30" s="35">
        <f t="shared" si="39"/>
        <v>15.229056720918887</v>
      </c>
      <c r="AD30" s="2">
        <v>29536</v>
      </c>
      <c r="AE30" s="30">
        <f t="shared" si="40"/>
        <v>3553</v>
      </c>
      <c r="AF30" s="35">
        <f t="shared" si="41"/>
        <v>13.674325520532657</v>
      </c>
      <c r="AG30" s="2">
        <v>34525</v>
      </c>
      <c r="AH30" s="30">
        <f t="shared" si="42"/>
        <v>4989</v>
      </c>
      <c r="AI30" s="35">
        <f t="shared" si="43"/>
        <v>16.891251354279525</v>
      </c>
    </row>
    <row r="31" spans="1:35" x14ac:dyDescent="0.3">
      <c r="A31" s="42" t="s">
        <v>48</v>
      </c>
      <c r="B31" s="37">
        <v>3611</v>
      </c>
      <c r="C31" s="37">
        <v>4056</v>
      </c>
      <c r="D31" s="37">
        <f t="shared" si="22"/>
        <v>445</v>
      </c>
      <c r="E31" s="39">
        <f t="shared" si="23"/>
        <v>12.323456106341734</v>
      </c>
      <c r="F31" s="37">
        <v>4331</v>
      </c>
      <c r="G31" s="37">
        <f t="shared" si="24"/>
        <v>275</v>
      </c>
      <c r="H31" s="39">
        <f t="shared" si="25"/>
        <v>6.7800788954635109</v>
      </c>
      <c r="I31" s="37">
        <v>5858</v>
      </c>
      <c r="J31" s="37">
        <f t="shared" si="26"/>
        <v>1527</v>
      </c>
      <c r="K31" s="39">
        <f t="shared" si="27"/>
        <v>35.257446317247748</v>
      </c>
      <c r="L31" s="37">
        <v>7246</v>
      </c>
      <c r="M31" s="37">
        <f t="shared" si="28"/>
        <v>1388</v>
      </c>
      <c r="N31" s="35">
        <f t="shared" si="29"/>
        <v>23.694093547285764</v>
      </c>
      <c r="O31" s="2">
        <v>7700</v>
      </c>
      <c r="P31" s="2">
        <f t="shared" si="30"/>
        <v>454</v>
      </c>
      <c r="Q31" s="35">
        <f t="shared" si="31"/>
        <v>6.2655258073419819</v>
      </c>
      <c r="R31" s="2">
        <v>9041</v>
      </c>
      <c r="S31" s="30">
        <f t="shared" si="32"/>
        <v>1341</v>
      </c>
      <c r="T31" s="35">
        <f t="shared" si="33"/>
        <v>17.415584415584416</v>
      </c>
      <c r="U31" s="2">
        <v>7559</v>
      </c>
      <c r="V31" s="30">
        <f t="shared" si="34"/>
        <v>-1482</v>
      </c>
      <c r="W31" s="35">
        <f t="shared" si="35"/>
        <v>-16.391992036279174</v>
      </c>
      <c r="X31" s="2">
        <v>8516</v>
      </c>
      <c r="Y31" s="30">
        <f t="shared" si="36"/>
        <v>957</v>
      </c>
      <c r="Z31" s="35">
        <f t="shared" si="37"/>
        <v>12.660404815451779</v>
      </c>
      <c r="AA31" s="2">
        <v>9810</v>
      </c>
      <c r="AB31" s="30">
        <f t="shared" si="38"/>
        <v>1294</v>
      </c>
      <c r="AC31" s="35">
        <f t="shared" si="39"/>
        <v>15.194927195866603</v>
      </c>
      <c r="AD31" s="2">
        <v>10544</v>
      </c>
      <c r="AE31" s="30">
        <f t="shared" si="40"/>
        <v>734</v>
      </c>
      <c r="AF31" s="35">
        <f t="shared" si="41"/>
        <v>7.4821610601427118</v>
      </c>
      <c r="AG31" s="2">
        <v>12053</v>
      </c>
      <c r="AH31" s="30">
        <f t="shared" si="42"/>
        <v>1509</v>
      </c>
      <c r="AI31" s="35">
        <f t="shared" si="43"/>
        <v>14.311456752655538</v>
      </c>
    </row>
    <row r="32" spans="1:35" x14ac:dyDescent="0.3">
      <c r="A32" s="42" t="s">
        <v>97</v>
      </c>
      <c r="B32" s="38">
        <v>3539</v>
      </c>
      <c r="C32" s="38">
        <v>4607</v>
      </c>
      <c r="D32" s="37">
        <f t="shared" si="22"/>
        <v>1068</v>
      </c>
      <c r="E32" s="39">
        <f t="shared" si="23"/>
        <v>30.178016388810398</v>
      </c>
      <c r="F32" s="38">
        <v>2765</v>
      </c>
      <c r="G32" s="37">
        <f t="shared" si="24"/>
        <v>-1842</v>
      </c>
      <c r="H32" s="39">
        <f t="shared" si="25"/>
        <v>-39.982635120468849</v>
      </c>
      <c r="I32" s="38">
        <v>3080</v>
      </c>
      <c r="J32" s="37">
        <f t="shared" si="26"/>
        <v>315</v>
      </c>
      <c r="K32" s="39">
        <f t="shared" si="27"/>
        <v>11.39240506329114</v>
      </c>
      <c r="L32" s="38">
        <v>3414</v>
      </c>
      <c r="M32" s="37">
        <f t="shared" si="28"/>
        <v>334</v>
      </c>
      <c r="N32" s="35">
        <f t="shared" si="29"/>
        <v>10.844155844155843</v>
      </c>
      <c r="O32" s="2">
        <v>4315</v>
      </c>
      <c r="P32" s="2">
        <f t="shared" si="30"/>
        <v>901</v>
      </c>
      <c r="Q32" s="35">
        <f t="shared" si="31"/>
        <v>26.391329818394844</v>
      </c>
      <c r="R32" s="2">
        <v>3503</v>
      </c>
      <c r="S32" s="30">
        <f t="shared" si="32"/>
        <v>-812</v>
      </c>
      <c r="T32" s="35">
        <f t="shared" si="33"/>
        <v>-18.818076477404404</v>
      </c>
      <c r="U32" s="2">
        <v>4012</v>
      </c>
      <c r="V32" s="30">
        <f t="shared" si="34"/>
        <v>509</v>
      </c>
      <c r="W32" s="35">
        <f t="shared" si="35"/>
        <v>14.53040251213246</v>
      </c>
      <c r="X32" s="2">
        <v>4466</v>
      </c>
      <c r="Y32" s="30">
        <f t="shared" si="36"/>
        <v>454</v>
      </c>
      <c r="Z32" s="35">
        <f t="shared" si="37"/>
        <v>11.3160518444666</v>
      </c>
      <c r="AA32" s="2">
        <v>4817</v>
      </c>
      <c r="AB32" s="30">
        <f t="shared" si="38"/>
        <v>351</v>
      </c>
      <c r="AC32" s="35">
        <f t="shared" si="39"/>
        <v>7.8593819973130321</v>
      </c>
      <c r="AD32" s="2">
        <v>5746</v>
      </c>
      <c r="AE32" s="30">
        <f t="shared" si="40"/>
        <v>929</v>
      </c>
      <c r="AF32" s="35">
        <f t="shared" si="41"/>
        <v>19.285862570064356</v>
      </c>
      <c r="AG32" s="2">
        <v>7094</v>
      </c>
      <c r="AH32" s="30">
        <f t="shared" si="42"/>
        <v>1348</v>
      </c>
      <c r="AI32" s="35">
        <f t="shared" si="43"/>
        <v>23.459798120431604</v>
      </c>
    </row>
    <row r="33" spans="1:35" x14ac:dyDescent="0.3">
      <c r="A33" s="42" t="s">
        <v>50</v>
      </c>
      <c r="B33" s="37">
        <v>469</v>
      </c>
      <c r="C33" s="37">
        <v>800</v>
      </c>
      <c r="D33" s="37">
        <f t="shared" si="22"/>
        <v>331</v>
      </c>
      <c r="E33" s="39">
        <f t="shared" si="23"/>
        <v>70.575692963752672</v>
      </c>
      <c r="F33" s="37">
        <v>513</v>
      </c>
      <c r="G33" s="37">
        <f t="shared" si="24"/>
        <v>-287</v>
      </c>
      <c r="H33" s="39">
        <f t="shared" si="25"/>
        <v>-35.875</v>
      </c>
      <c r="I33" s="37">
        <v>1262</v>
      </c>
      <c r="J33" s="37">
        <f t="shared" si="26"/>
        <v>749</v>
      </c>
      <c r="K33" s="39">
        <f t="shared" si="27"/>
        <v>146.00389863547758</v>
      </c>
      <c r="L33" s="37">
        <v>1957</v>
      </c>
      <c r="M33" s="37">
        <f t="shared" si="28"/>
        <v>695</v>
      </c>
      <c r="N33" s="35">
        <f t="shared" si="29"/>
        <v>55.071315372424721</v>
      </c>
      <c r="O33" s="2">
        <v>2842</v>
      </c>
      <c r="P33" s="2">
        <f t="shared" si="30"/>
        <v>885</v>
      </c>
      <c r="Q33" s="35">
        <f t="shared" si="31"/>
        <v>45.22227899846704</v>
      </c>
      <c r="R33" s="2">
        <v>5474</v>
      </c>
      <c r="S33" s="30">
        <f t="shared" si="32"/>
        <v>2632</v>
      </c>
      <c r="T33" s="35">
        <f t="shared" si="33"/>
        <v>92.610837438423644</v>
      </c>
      <c r="U33" s="2">
        <v>4190</v>
      </c>
      <c r="V33" s="30">
        <f t="shared" si="34"/>
        <v>-1284</v>
      </c>
      <c r="W33" s="35">
        <f t="shared" si="35"/>
        <v>-23.456339057362076</v>
      </c>
      <c r="X33" s="2">
        <v>6084</v>
      </c>
      <c r="Y33" s="30">
        <f t="shared" si="36"/>
        <v>1894</v>
      </c>
      <c r="Z33" s="35">
        <f t="shared" si="37"/>
        <v>45.202863961813847</v>
      </c>
      <c r="AA33" s="2">
        <v>6278</v>
      </c>
      <c r="AB33" s="30">
        <f t="shared" si="38"/>
        <v>194</v>
      </c>
      <c r="AC33" s="35">
        <f t="shared" si="39"/>
        <v>3.1886916502301119</v>
      </c>
      <c r="AD33" s="2">
        <v>8235</v>
      </c>
      <c r="AE33" s="30">
        <f t="shared" si="40"/>
        <v>1957</v>
      </c>
      <c r="AF33" s="35">
        <f t="shared" si="41"/>
        <v>31.172347881490918</v>
      </c>
      <c r="AG33" s="2">
        <v>9870</v>
      </c>
      <c r="AH33" s="30">
        <f t="shared" si="42"/>
        <v>1635</v>
      </c>
      <c r="AI33" s="35">
        <f t="shared" si="43"/>
        <v>19.854280510018217</v>
      </c>
    </row>
    <row r="34" spans="1:35" x14ac:dyDescent="0.3">
      <c r="A34" s="42" t="s">
        <v>53</v>
      </c>
      <c r="B34" s="38">
        <v>12910</v>
      </c>
      <c r="C34" s="38">
        <v>15896</v>
      </c>
      <c r="D34" s="37">
        <f t="shared" si="22"/>
        <v>2986</v>
      </c>
      <c r="E34" s="39">
        <f t="shared" si="23"/>
        <v>23.129357087529048</v>
      </c>
      <c r="F34" s="38">
        <v>16200</v>
      </c>
      <c r="G34" s="37">
        <f t="shared" si="24"/>
        <v>304</v>
      </c>
      <c r="H34" s="39">
        <f t="shared" si="25"/>
        <v>1.9124308002013084</v>
      </c>
      <c r="I34" s="38">
        <v>20942</v>
      </c>
      <c r="J34" s="37">
        <f t="shared" si="26"/>
        <v>4742</v>
      </c>
      <c r="K34" s="39">
        <f t="shared" si="27"/>
        <v>29.271604938271604</v>
      </c>
      <c r="L34" s="38">
        <v>26271</v>
      </c>
      <c r="M34" s="37">
        <f t="shared" si="28"/>
        <v>5329</v>
      </c>
      <c r="N34" s="35">
        <f t="shared" si="29"/>
        <v>25.446471206188519</v>
      </c>
      <c r="O34" s="2">
        <v>28765</v>
      </c>
      <c r="P34" s="2">
        <f t="shared" si="30"/>
        <v>2494</v>
      </c>
      <c r="Q34" s="35">
        <f t="shared" si="31"/>
        <v>9.4933576947965435</v>
      </c>
      <c r="R34" s="2">
        <v>33416</v>
      </c>
      <c r="S34" s="30">
        <f t="shared" si="32"/>
        <v>4651</v>
      </c>
      <c r="T34" s="35">
        <f t="shared" si="33"/>
        <v>16.168955327655134</v>
      </c>
      <c r="U34" s="2">
        <v>33638</v>
      </c>
      <c r="V34" s="30">
        <f t="shared" si="34"/>
        <v>222</v>
      </c>
      <c r="W34" s="35">
        <f t="shared" si="35"/>
        <v>0.66435240603303813</v>
      </c>
      <c r="X34" s="2">
        <v>39505</v>
      </c>
      <c r="Y34" s="30">
        <f t="shared" si="36"/>
        <v>5867</v>
      </c>
      <c r="Z34" s="35">
        <f t="shared" si="37"/>
        <v>17.441583922944289</v>
      </c>
      <c r="AA34" s="2">
        <v>44717</v>
      </c>
      <c r="AB34" s="30">
        <f t="shared" si="38"/>
        <v>5212</v>
      </c>
      <c r="AC34" s="35">
        <f t="shared" si="39"/>
        <v>13.193266675104418</v>
      </c>
      <c r="AD34" s="2">
        <v>49482</v>
      </c>
      <c r="AE34" s="30">
        <f t="shared" si="40"/>
        <v>4765</v>
      </c>
      <c r="AF34" s="35">
        <f t="shared" si="41"/>
        <v>10.655902676834314</v>
      </c>
      <c r="AG34" s="2">
        <v>58196</v>
      </c>
      <c r="AH34" s="30">
        <f t="shared" si="42"/>
        <v>8714</v>
      </c>
      <c r="AI34" s="35">
        <f t="shared" si="43"/>
        <v>17.610444201932015</v>
      </c>
    </row>
  </sheetData>
  <mergeCells count="2">
    <mergeCell ref="A1:P2"/>
    <mergeCell ref="A17:P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000F-AEC1-4FA1-9914-934B70AC9F14}">
  <dimension ref="A1:M32"/>
  <sheetViews>
    <sheetView topLeftCell="A8" workbookViewId="0">
      <selection activeCell="B6" sqref="B6"/>
    </sheetView>
  </sheetViews>
  <sheetFormatPr defaultRowHeight="14.4" x14ac:dyDescent="0.3"/>
  <cols>
    <col min="1" max="1" width="19.88671875" customWidth="1"/>
  </cols>
  <sheetData>
    <row r="1" spans="1:13" x14ac:dyDescent="0.3">
      <c r="A1" s="51" t="s">
        <v>98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3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4" spans="1:13" x14ac:dyDescent="0.3">
      <c r="A4" s="42" t="s">
        <v>54</v>
      </c>
      <c r="B4" s="43">
        <v>42064</v>
      </c>
      <c r="C4" s="43">
        <v>42430</v>
      </c>
      <c r="D4" s="43">
        <v>42795</v>
      </c>
      <c r="E4" s="43">
        <v>43160</v>
      </c>
      <c r="F4" s="43">
        <v>43525</v>
      </c>
      <c r="G4" s="43">
        <v>43891</v>
      </c>
      <c r="H4" s="43">
        <v>44256</v>
      </c>
      <c r="I4" s="43">
        <v>44621</v>
      </c>
      <c r="J4" s="43">
        <v>44986</v>
      </c>
      <c r="K4" s="43">
        <v>45352</v>
      </c>
      <c r="L4" s="43">
        <v>45717</v>
      </c>
      <c r="M4" s="43">
        <v>46082</v>
      </c>
    </row>
    <row r="5" spans="1:13" x14ac:dyDescent="0.3">
      <c r="A5" s="42" t="s">
        <v>89</v>
      </c>
      <c r="B5" s="41">
        <v>1</v>
      </c>
      <c r="C5" s="41">
        <v>1</v>
      </c>
      <c r="D5" s="41">
        <v>1</v>
      </c>
      <c r="E5" s="41">
        <v>1</v>
      </c>
      <c r="F5" s="41">
        <v>1</v>
      </c>
      <c r="G5" s="41">
        <v>1</v>
      </c>
      <c r="H5" s="41">
        <v>1</v>
      </c>
      <c r="I5" s="41">
        <v>1</v>
      </c>
      <c r="J5" s="41">
        <v>1</v>
      </c>
      <c r="K5" s="41">
        <v>1</v>
      </c>
      <c r="L5" s="41">
        <v>1</v>
      </c>
      <c r="M5" s="41">
        <v>1</v>
      </c>
    </row>
    <row r="6" spans="1:13" x14ac:dyDescent="0.3">
      <c r="A6" s="42" t="s">
        <v>90</v>
      </c>
      <c r="B6" s="40">
        <f>'Income Statement'!B4/'Income Statement'!B2</f>
        <v>0.78691233578451625</v>
      </c>
      <c r="C6" s="40">
        <f>'Income Statement'!C4/'Income Statement'!C2</f>
        <v>0.76815277374382807</v>
      </c>
      <c r="D6" s="40">
        <f>'Income Statement'!D4/'Income Statement'!D2</f>
        <v>0.76921529175050307</v>
      </c>
      <c r="E6" s="40">
        <f>'Income Statement'!E4/'Income Statement'!E2</f>
        <v>0.7708801555002126</v>
      </c>
      <c r="F6" s="40">
        <f>'Income Statement'!F4/'Income Statement'!F2</f>
        <v>0.79799631977100793</v>
      </c>
      <c r="G6" s="40">
        <f>'Income Statement'!G4/'Income Statement'!G2</f>
        <v>0.79003420061474527</v>
      </c>
      <c r="H6" s="40">
        <f>'Income Statement'!H4/'Income Statement'!H2</f>
        <v>0.78696266397578207</v>
      </c>
      <c r="I6" s="40">
        <f>'Income Statement'!I4/'Income Statement'!I2</f>
        <v>0.81261991046685145</v>
      </c>
      <c r="J6" s="40">
        <f>'Income Statement'!J4/'Income Statement'!J2</f>
        <v>0.85085495876081274</v>
      </c>
      <c r="K6" s="40">
        <f>'Income Statement'!K4/'Income Statement'!K2</f>
        <v>0.79911730225501687</v>
      </c>
      <c r="L6" s="40">
        <f>'Income Statement'!L4/'Income Statement'!L2</f>
        <v>0.79321649224561841</v>
      </c>
      <c r="M6" s="40">
        <f>'Income Statement'!M4/'Income Statement'!M2</f>
        <v>0.79585772442278546</v>
      </c>
    </row>
    <row r="7" spans="1:13" x14ac:dyDescent="0.3">
      <c r="A7" s="42" t="s">
        <v>8</v>
      </c>
      <c r="B7" s="40">
        <f>'Income Statement'!B11/'Income Statement'!B2</f>
        <v>0.21308766421548375</v>
      </c>
      <c r="C7" s="40">
        <f>'Income Statement'!C11/'Income Statement'!C2</f>
        <v>0.23184722625617193</v>
      </c>
      <c r="D7" s="40">
        <f>'Income Statement'!D11/'Income Statement'!D2</f>
        <v>0.23078470824949698</v>
      </c>
      <c r="E7" s="40">
        <f>'Income Statement'!E11/'Income Statement'!E2</f>
        <v>0.2291198444997874</v>
      </c>
      <c r="F7" s="40">
        <f>'Income Statement'!F11/'Income Statement'!F2</f>
        <v>0.20200368022899204</v>
      </c>
      <c r="G7" s="40">
        <f>'Income Statement'!G11/'Income Statement'!G2</f>
        <v>0.20992250746785576</v>
      </c>
      <c r="H7" s="40">
        <f>'Income Statement'!H11/'Income Statement'!H2</f>
        <v>0.21303733602421795</v>
      </c>
      <c r="I7" s="40">
        <f>'Income Statement'!I11/'Income Statement'!I2</f>
        <v>0.18742272436580687</v>
      </c>
      <c r="J7" s="40">
        <f>'Income Statement'!J11/'Income Statement'!J2</f>
        <v>0.14914504123918729</v>
      </c>
      <c r="K7" s="40">
        <f>'Income Statement'!K11/'Income Statement'!K2</f>
        <v>0.2008826977449831</v>
      </c>
      <c r="L7" s="40">
        <f>'Income Statement'!L11/'Income Statement'!L2</f>
        <v>0.20678350775438153</v>
      </c>
      <c r="M7" s="40">
        <f>'Income Statement'!M11/'Income Statement'!M2</f>
        <v>0.20414227557721451</v>
      </c>
    </row>
    <row r="8" spans="1:13" x14ac:dyDescent="0.3">
      <c r="A8" s="42" t="s">
        <v>91</v>
      </c>
      <c r="B8" s="40">
        <f>'Income Statement'!B13/'Income Statement'!B2</f>
        <v>6.692555564736016E-3</v>
      </c>
      <c r="C8" s="40">
        <f>'Income Statement'!C13/'Income Statement'!C2</f>
        <v>1.4522218995062446E-2</v>
      </c>
      <c r="D8" s="40">
        <f>'Income Statement'!D13/'Income Statement'!D2</f>
        <v>7.7129443326626424E-3</v>
      </c>
      <c r="E8" s="40">
        <f>'Income Statement'!E13/'Income Statement'!E2</f>
        <v>6.3779384073376659E-3</v>
      </c>
      <c r="F8" s="40">
        <f>'Income Statement'!F13/'Income Statement'!F2</f>
        <v>3.5780004089143325E-3</v>
      </c>
      <c r="G8" s="40">
        <f>'Income Statement'!G13/'Income Statement'!G2</f>
        <v>7.1864582882375863E-3</v>
      </c>
      <c r="H8" s="40">
        <f>'Income Statement'!H13/'Income Statement'!H2</f>
        <v>0.12896064581231079</v>
      </c>
      <c r="I8" s="40">
        <f>'Income Statement'!I13/'Income Statement'!I2</f>
        <v>6.4804945640588359E-3</v>
      </c>
      <c r="J8" s="40">
        <f>'Income Statement'!J13/'Income Statement'!J2</f>
        <v>1.1707905853952927E-2</v>
      </c>
      <c r="K8" s="40">
        <f>'Income Statement'!K13/'Income Statement'!K2</f>
        <v>1.2619819322805323E-2</v>
      </c>
      <c r="L8" s="40">
        <f>'Income Statement'!L13/'Income Statement'!L2</f>
        <v>1.9322910099609129E-2</v>
      </c>
      <c r="M8" s="40">
        <f>'Income Statement'!M13/'Income Statement'!M2</f>
        <v>1.2004873265384958E-2</v>
      </c>
    </row>
    <row r="9" spans="1:13" x14ac:dyDescent="0.3">
      <c r="A9" s="42" t="s">
        <v>12</v>
      </c>
      <c r="B9" s="40">
        <f>'Income Statement'!B16/'Income Statement'!B2</f>
        <v>1.3219862843922995E-2</v>
      </c>
      <c r="C9" s="40">
        <f>'Income Statement'!C16/'Income Statement'!C2</f>
        <v>1.8661051408655243E-2</v>
      </c>
      <c r="D9" s="40">
        <f>'Income Statement'!D16/'Income Statement'!D2</f>
        <v>4.4936284372904091E-3</v>
      </c>
      <c r="E9" s="40">
        <f>'Income Statement'!E16/'Income Statement'!E2</f>
        <v>4.7378971025936953E-3</v>
      </c>
      <c r="F9" s="40">
        <f>'Income Statement'!F16/'Income Statement'!F2</f>
        <v>1.3443058679206706E-2</v>
      </c>
      <c r="G9" s="40">
        <f>'Income Statement'!G16/'Income Statement'!G2</f>
        <v>1.3204034806701589E-2</v>
      </c>
      <c r="H9" s="40">
        <f>'Income Statement'!H16/'Income Statement'!H2</f>
        <v>2.9868819374369326E-3</v>
      </c>
      <c r="I9" s="40">
        <f>'Income Statement'!I16/'Income Statement'!I2</f>
        <v>2.089106800255809E-3</v>
      </c>
      <c r="J9" s="40">
        <f>'Income Statement'!J16/'Income Statement'!J2</f>
        <v>5.6326694830014078E-3</v>
      </c>
      <c r="K9" s="40">
        <f>'Income Statement'!K16/'Income Statement'!K2</f>
        <v>9.9993103923867316E-3</v>
      </c>
      <c r="L9" s="40">
        <f>'Income Statement'!L16/'Income Statement'!L2</f>
        <v>1.4405497415206154E-2</v>
      </c>
      <c r="M9" s="40">
        <f>'Income Statement'!M16/'Income Statement'!M2</f>
        <v>1.1410572608682733E-2</v>
      </c>
    </row>
    <row r="10" spans="1:13" x14ac:dyDescent="0.3">
      <c r="A10" s="42" t="s">
        <v>13</v>
      </c>
      <c r="B10" s="40">
        <f>'Income Statement'!B17/'Income Statement'!B2</f>
        <v>2.7513839543914731E-2</v>
      </c>
      <c r="C10" s="40">
        <f>'Income Statement'!C17/'Income Statement'!C2</f>
        <v>2.8463549230322394E-2</v>
      </c>
      <c r="D10" s="40">
        <f>'Income Statement'!D17/'Income Statement'!D2</f>
        <v>2.8705566733735748E-2</v>
      </c>
      <c r="E10" s="40">
        <f>'Income Statement'!E17/'Income Statement'!E2</f>
        <v>3.3894186964708743E-2</v>
      </c>
      <c r="F10" s="40">
        <f>'Income Statement'!F17/'Income Statement'!F2</f>
        <v>3.4144346759353912E-2</v>
      </c>
      <c r="G10" s="40">
        <f>'Income Statement'!G17/'Income Statement'!G2</f>
        <v>4.1863284124853892E-2</v>
      </c>
      <c r="H10" s="40">
        <f>'Income Statement'!H17/'Income Statement'!H2</f>
        <v>4.2583249243188695E-2</v>
      </c>
      <c r="I10" s="40">
        <f>'Income Statement'!I17/'Income Statement'!I2</f>
        <v>4.8049456405883609E-2</v>
      </c>
      <c r="J10" s="40">
        <f>'Income Statement'!J17/'Income Statement'!J2</f>
        <v>5.009052504526252E-2</v>
      </c>
      <c r="K10" s="40">
        <f>'Income Statement'!K17/'Income Statement'!K2</f>
        <v>5.2479139369698641E-2</v>
      </c>
      <c r="L10" s="40">
        <f>'Income Statement'!L17/'Income Statement'!L2</f>
        <v>5.1979573824234016E-2</v>
      </c>
      <c r="M10" s="40">
        <f>'Income Statement'!M17/'Income Statement'!M2</f>
        <v>5.2833328380827861E-2</v>
      </c>
    </row>
    <row r="11" spans="1:13" x14ac:dyDescent="0.3">
      <c r="A11" s="42" t="s">
        <v>93</v>
      </c>
      <c r="B11" s="40">
        <f>'Income Statement'!B18/'Income Statement'!B2</f>
        <v>0.17912914153515658</v>
      </c>
      <c r="C11" s="40">
        <f>'Income Statement'!C18/'Income Statement'!C2</f>
        <v>0.19924484461225675</v>
      </c>
      <c r="D11" s="40">
        <f>'Income Statement'!D18/'Income Statement'!D2</f>
        <v>0.20529845741113348</v>
      </c>
      <c r="E11" s="40">
        <f>'Income Statement'!E18/'Income Statement'!E2</f>
        <v>0.19686569883982263</v>
      </c>
      <c r="F11" s="40">
        <f>'Income Statement'!F18/'Income Statement'!F2</f>
        <v>0.15799427519934572</v>
      </c>
      <c r="G11" s="40">
        <f>'Income Statement'!G18/'Income Statement'!G2</f>
        <v>0.16204164682453787</v>
      </c>
      <c r="H11" s="40">
        <f>'Income Statement'!H18/'Income Statement'!H2</f>
        <v>0.2964278506559031</v>
      </c>
      <c r="I11" s="40">
        <f>'Income Statement'!I18/'Income Statement'!I2</f>
        <v>0.14380729055638455</v>
      </c>
      <c r="J11" s="40">
        <f>'Income Statement'!J18/'Income Statement'!J2</f>
        <v>0.10508951921142627</v>
      </c>
      <c r="K11" s="40">
        <f>'Income Statement'!K18/'Income Statement'!K2</f>
        <v>0.15102406730570306</v>
      </c>
      <c r="L11" s="40">
        <f>'Income Statement'!L18/'Income Statement'!L2</f>
        <v>0.15968982473836843</v>
      </c>
      <c r="M11" s="40">
        <f>'Income Statement'!M18/'Income Statement'!M2</f>
        <v>0.15190324785308887</v>
      </c>
    </row>
    <row r="12" spans="1:13" x14ac:dyDescent="0.3">
      <c r="A12" s="42" t="s">
        <v>94</v>
      </c>
      <c r="B12" s="40">
        <f>'Income Statement'!B20/'Income Statement'!B2</f>
        <v>0.1298025282987689</v>
      </c>
      <c r="C12" s="40">
        <f>'Income Statement'!C20/'Income Statement'!C2</f>
        <v>0.14696485623003194</v>
      </c>
      <c r="D12" s="40">
        <f>'Income Statement'!D20/'Income Statement'!D2</f>
        <v>0.15432595573440644</v>
      </c>
      <c r="E12" s="40">
        <f>'Income Statement'!E20/'Income Statement'!E2</f>
        <v>0.1471785215331349</v>
      </c>
      <c r="F12" s="40">
        <f>'Income Statement'!F20/'Income Statement'!F2</f>
        <v>0.1208341852381926</v>
      </c>
      <c r="G12" s="40">
        <f>'Income Statement'!G20/'Income Statement'!G2</f>
        <v>0.12312221308281744</v>
      </c>
      <c r="H12" s="40">
        <f>'Income Statement'!H20/'Income Statement'!H2</f>
        <v>0.21529767911200806</v>
      </c>
      <c r="I12" s="40">
        <f>'Income Statement'!I20/'Income Statement'!I2</f>
        <v>0.11285440204647197</v>
      </c>
      <c r="J12" s="40">
        <f>'Income Statement'!J20/'Income Statement'!J2</f>
        <v>7.7569905451619389E-2</v>
      </c>
      <c r="K12" s="40">
        <f>'Income Statement'!K20/'Income Statement'!K2</f>
        <v>0.1092683263223226</v>
      </c>
      <c r="L12" s="40">
        <f>'Income Statement'!L20/'Income Statement'!L2</f>
        <v>0.10982221661833312</v>
      </c>
      <c r="M12" s="40">
        <f>'Income Statement'!M20/'Income Statement'!M2</f>
        <v>0.10409176002139482</v>
      </c>
    </row>
    <row r="14" spans="1:13" x14ac:dyDescent="0.3">
      <c r="A14" s="52" t="s">
        <v>99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</row>
    <row r="15" spans="1:13" x14ac:dyDescent="0.3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</row>
    <row r="18" spans="1:13" x14ac:dyDescent="0.3">
      <c r="A18" s="42" t="s">
        <v>54</v>
      </c>
      <c r="B18" s="43">
        <v>42064</v>
      </c>
      <c r="C18" s="43">
        <v>42430</v>
      </c>
      <c r="D18" s="43">
        <v>42795</v>
      </c>
      <c r="E18" s="43">
        <v>43160</v>
      </c>
      <c r="F18" s="43">
        <v>43525</v>
      </c>
      <c r="G18" s="43">
        <v>43891</v>
      </c>
      <c r="H18" s="43">
        <v>44256</v>
      </c>
      <c r="I18" s="43">
        <v>44621</v>
      </c>
      <c r="J18" s="43">
        <v>44986</v>
      </c>
      <c r="K18" s="43">
        <v>45352</v>
      </c>
      <c r="L18" s="43">
        <v>45717</v>
      </c>
      <c r="M18" s="43">
        <v>46082</v>
      </c>
    </row>
    <row r="19" spans="1:13" x14ac:dyDescent="0.3">
      <c r="A19" s="42" t="s">
        <v>25</v>
      </c>
      <c r="B19" s="40">
        <f>'Balance Sheet'!B2/'Balance Sheet'!B35</f>
        <v>2.2463206816421377E-3</v>
      </c>
      <c r="C19" s="40">
        <f>'Balance Sheet'!C2/'Balance Sheet'!C35</f>
        <v>3.711625566180171E-3</v>
      </c>
      <c r="D19" s="40">
        <f>'Balance Sheet'!D2/'Balance Sheet'!D35</f>
        <v>3.6419753086419752E-3</v>
      </c>
      <c r="E19" s="40">
        <f>'Balance Sheet'!E2/'Balance Sheet'!E35</f>
        <v>2.8173049374462804E-3</v>
      </c>
      <c r="F19" s="40">
        <f>'Balance Sheet'!F2/'Balance Sheet'!F35</f>
        <v>2.2458223897072818E-3</v>
      </c>
      <c r="G19" s="40">
        <f>'Balance Sheet'!G2/'Balance Sheet'!G35</f>
        <v>2.051103771945072E-3</v>
      </c>
      <c r="H19" s="40">
        <f>'Balance Sheet'!H2/'Balance Sheet'!H35</f>
        <v>1.7656212592769931E-3</v>
      </c>
      <c r="I19" s="40">
        <f>'Balance Sheet'!I2/'Balance Sheet'!I35</f>
        <v>1.7539687258457696E-3</v>
      </c>
      <c r="J19" s="40">
        <f>'Balance Sheet'!J2/'Balance Sheet'!J35</f>
        <v>1.4934818377420579E-3</v>
      </c>
      <c r="K19" s="40">
        <f>'Balance Sheet'!K2/'Balance Sheet'!K35</f>
        <v>1.3194087259878794E-3</v>
      </c>
      <c r="L19" s="40">
        <f>'Balance Sheet'!L2/'Balance Sheet'!L35</f>
        <v>1.1721434056828745E-3</v>
      </c>
      <c r="M19" s="40">
        <f>'Balance Sheet'!M2/'Balance Sheet'!M35</f>
        <v>9.9663207093271013E-4</v>
      </c>
    </row>
    <row r="20" spans="1:13" x14ac:dyDescent="0.3">
      <c r="A20" s="42" t="s">
        <v>26</v>
      </c>
      <c r="B20" s="40">
        <f>'Balance Sheet'!B3/'Balance Sheet'!B35</f>
        <v>0.39713400464756005</v>
      </c>
      <c r="C20" s="40">
        <f>'Balance Sheet'!C3/'Balance Sheet'!C35</f>
        <v>0.45476849521892299</v>
      </c>
      <c r="D20" s="40">
        <f>'Balance Sheet'!D3/'Balance Sheet'!D35</f>
        <v>0.57487654320987658</v>
      </c>
      <c r="E20" s="40">
        <f>'Balance Sheet'!E3/'Balance Sheet'!E35</f>
        <v>0.55496132174577406</v>
      </c>
      <c r="F20" s="40">
        <f>'Balance Sheet'!F3/'Balance Sheet'!F35</f>
        <v>0.52651212363442579</v>
      </c>
      <c r="G20" s="40">
        <f>'Balance Sheet'!G3/'Balance Sheet'!G35</f>
        <v>0.58286111593950984</v>
      </c>
      <c r="H20" s="40">
        <f>'Balance Sheet'!H3/'Balance Sheet'!H35</f>
        <v>0.65450682307876462</v>
      </c>
      <c r="I20" s="40">
        <f>'Balance Sheet'!I3/'Balance Sheet'!I35</f>
        <v>0.72884832629763963</v>
      </c>
      <c r="J20" s="40">
        <f>'Balance Sheet'!J3/'Balance Sheet'!J35</f>
        <v>0.67791418807745851</v>
      </c>
      <c r="K20" s="40">
        <f>'Balance Sheet'!K3/'Balance Sheet'!K35</f>
        <v>0.66605541516649147</v>
      </c>
      <c r="L20" s="40">
        <f>'Balance Sheet'!L3/'Balance Sheet'!L35</f>
        <v>0.65872438462471206</v>
      </c>
      <c r="M20" s="40">
        <f>'Balance Sheet'!M3/'Balance Sheet'!M35</f>
        <v>0.65009622654477972</v>
      </c>
    </row>
    <row r="21" spans="1:13" x14ac:dyDescent="0.3">
      <c r="A21" s="42" t="s">
        <v>66</v>
      </c>
      <c r="B21" s="40">
        <f>'Balance Sheet'!B4/'Balance Sheet'!B35</f>
        <v>0.34477149496514331</v>
      </c>
      <c r="C21" s="40">
        <f>'Balance Sheet'!C4/'Balance Sheet'!C35</f>
        <v>0.31712380473074986</v>
      </c>
      <c r="D21" s="40">
        <f>'Balance Sheet'!D4/'Balance Sheet'!D35</f>
        <v>0.20765432098765432</v>
      </c>
      <c r="E21" s="40">
        <f>'Balance Sheet'!E4/'Balance Sheet'!E35</f>
        <v>0.22777194155286029</v>
      </c>
      <c r="F21" s="40">
        <f>'Balance Sheet'!F4/'Balance Sheet'!F35</f>
        <v>0.26519736591679038</v>
      </c>
      <c r="G21" s="40">
        <f>'Balance Sheet'!G4/'Balance Sheet'!G35</f>
        <v>0.20253780636189814</v>
      </c>
      <c r="H21" s="40">
        <f>'Balance Sheet'!H4/'Balance Sheet'!H35</f>
        <v>0.1597737610725401</v>
      </c>
      <c r="I21" s="40">
        <f>'Balance Sheet'!I4/'Balance Sheet'!I35</f>
        <v>8.475533622688626E-2</v>
      </c>
      <c r="J21" s="40">
        <f>'Balance Sheet'!J4/'Balance Sheet'!J35</f>
        <v>0.13380584736109352</v>
      </c>
      <c r="K21" s="40">
        <f>'Balance Sheet'!K4/'Balance Sheet'!K35</f>
        <v>0.14866829170114274</v>
      </c>
      <c r="L21" s="40">
        <f>'Balance Sheet'!L4/'Balance Sheet'!L35</f>
        <v>0.16699001657168264</v>
      </c>
      <c r="M21" s="40">
        <f>'Balance Sheet'!M4/'Balance Sheet'!M35</f>
        <v>0.13872087428689256</v>
      </c>
    </row>
    <row r="22" spans="1:13" x14ac:dyDescent="0.3">
      <c r="A22" s="42" t="s">
        <v>67</v>
      </c>
      <c r="B22" s="40">
        <f>'Balance Sheet'!B10/'Balance Sheet'!B35</f>
        <v>0.25584817970565454</v>
      </c>
      <c r="C22" s="40">
        <f>'Balance Sheet'!C10/'Balance Sheet'!C35</f>
        <v>0.22445898339204831</v>
      </c>
      <c r="D22" s="40">
        <f>'Balance Sheet'!D10/'Balance Sheet'!D35</f>
        <v>0.21382716049382716</v>
      </c>
      <c r="E22" s="40">
        <f>'Balance Sheet'!E10/'Balance Sheet'!E35</f>
        <v>0.21449718269506254</v>
      </c>
      <c r="F22" s="40">
        <f>'Balance Sheet'!F10/'Balance Sheet'!F35</f>
        <v>0.20608275284534278</v>
      </c>
      <c r="G22" s="40">
        <f>'Balance Sheet'!G10/'Balance Sheet'!G35</f>
        <v>0.21251520945593602</v>
      </c>
      <c r="H22" s="40">
        <f>'Balance Sheet'!H10/'Balance Sheet'!H35</f>
        <v>0.18395379458941824</v>
      </c>
      <c r="I22" s="40">
        <f>'Balance Sheet'!I10/'Balance Sheet'!I35</f>
        <v>0.18464236874962839</v>
      </c>
      <c r="J22" s="40">
        <f>'Balance Sheet'!J10/'Balance Sheet'!J35</f>
        <v>0.18678648272370585</v>
      </c>
      <c r="K22" s="40">
        <f>'Balance Sheet'!K10/'Balance Sheet'!K35</f>
        <v>0.1839792472661404</v>
      </c>
      <c r="L22" s="40">
        <f>'Balance Sheet'!L10/'Balance Sheet'!L35</f>
        <v>0.17311345539792247</v>
      </c>
      <c r="M22" s="40">
        <f>'Balance Sheet'!M10/'Balance Sheet'!M35</f>
        <v>0.21018626709739502</v>
      </c>
    </row>
    <row r="23" spans="1:13" x14ac:dyDescent="0.3">
      <c r="A23" s="42" t="s">
        <v>124</v>
      </c>
      <c r="B23" s="40">
        <f>'Balance Sheet'!B15/'Balance Sheet'!B35</f>
        <v>1</v>
      </c>
      <c r="C23" s="40">
        <f>'Balance Sheet'!C15/'Balance Sheet'!C35</f>
        <v>1</v>
      </c>
      <c r="D23" s="40">
        <f>'Balance Sheet'!D15/'Balance Sheet'!D35</f>
        <v>1</v>
      </c>
      <c r="E23" s="40">
        <f>'Balance Sheet'!E15/'Balance Sheet'!E35</f>
        <v>1</v>
      </c>
      <c r="F23" s="40">
        <f>'Balance Sheet'!F15/'Balance Sheet'!F35</f>
        <v>1</v>
      </c>
      <c r="G23" s="40">
        <f>'Balance Sheet'!G15/'Balance Sheet'!G35</f>
        <v>1</v>
      </c>
      <c r="H23" s="40">
        <f>'Balance Sheet'!H15/'Balance Sheet'!H35</f>
        <v>1</v>
      </c>
      <c r="I23" s="40">
        <f>'Balance Sheet'!I15/'Balance Sheet'!I35</f>
        <v>1</v>
      </c>
      <c r="J23" s="40">
        <f>'Balance Sheet'!J15/'Balance Sheet'!J35</f>
        <v>1</v>
      </c>
      <c r="K23" s="40">
        <f>'Balance Sheet'!K15/'Balance Sheet'!K35</f>
        <v>1</v>
      </c>
      <c r="L23" s="40">
        <f>'Balance Sheet'!L15/'Balance Sheet'!L35</f>
        <v>1</v>
      </c>
      <c r="M23" s="40">
        <f>'Balance Sheet'!M15/'Balance Sheet'!M35</f>
        <v>1</v>
      </c>
    </row>
    <row r="24" spans="1:13" x14ac:dyDescent="0.3">
      <c r="A24" s="42" t="s">
        <v>68</v>
      </c>
      <c r="B24" s="40">
        <f>'Balance Sheet'!B16/'Balance Sheet'!B35</f>
        <v>0.28706429124709526</v>
      </c>
      <c r="C24" s="40">
        <f>'Balance Sheet'!C16/'Balance Sheet'!C35</f>
        <v>0.26295923502767993</v>
      </c>
      <c r="D24" s="40">
        <f>'Balance Sheet'!D16/'Balance Sheet'!D35</f>
        <v>0.29839506172839508</v>
      </c>
      <c r="E24" s="40">
        <f>'Balance Sheet'!E16/'Balance Sheet'!E35</f>
        <v>0.31138382198452869</v>
      </c>
      <c r="F24" s="40">
        <f>'Balance Sheet'!F16/'Balance Sheet'!F35</f>
        <v>0.32259906360625784</v>
      </c>
      <c r="G24" s="40">
        <f>'Balance Sheet'!G16/'Balance Sheet'!G35</f>
        <v>0.32664696679993049</v>
      </c>
      <c r="H24" s="40">
        <f>'Balance Sheet'!H16/'Balance Sheet'!H35</f>
        <v>0.2805242997366531</v>
      </c>
      <c r="I24" s="40">
        <f>'Balance Sheet'!I16/'Balance Sheet'!I35</f>
        <v>0.31309828170521437</v>
      </c>
      <c r="J24" s="40">
        <f>'Balance Sheet'!J16/'Balance Sheet'!J35</f>
        <v>0.27905328439438049</v>
      </c>
      <c r="K24" s="40">
        <f>'Balance Sheet'!K16/'Balance Sheet'!K35</f>
        <v>0.32410492653800566</v>
      </c>
      <c r="L24" s="40">
        <f>'Balance Sheet'!L16/'Balance Sheet'!L35</f>
        <v>0.29897740592538702</v>
      </c>
      <c r="M24" s="40">
        <f>'Balance Sheet'!M16/'Balance Sheet'!M35</f>
        <v>0.29910990446078767</v>
      </c>
    </row>
    <row r="25" spans="1:13" x14ac:dyDescent="0.3">
      <c r="A25" s="42" t="s">
        <v>42</v>
      </c>
      <c r="B25" s="40">
        <f>'Balance Sheet'!B23/'Balance Sheet'!B35</f>
        <v>8.0092951200619669E-2</v>
      </c>
      <c r="C25" s="40">
        <f>'Balance Sheet'!C23/'Balance Sheet'!C35</f>
        <v>5.3095118268746855E-2</v>
      </c>
      <c r="D25" s="40">
        <f>'Balance Sheet'!D23/'Balance Sheet'!D35</f>
        <v>5.1604938271604936E-2</v>
      </c>
      <c r="E25" s="40">
        <f>'Balance Sheet'!E23/'Balance Sheet'!E35</f>
        <v>9.4260338076592495E-2</v>
      </c>
      <c r="F25" s="40">
        <f>'Balance Sheet'!F23/'Balance Sheet'!F35</f>
        <v>0.11682082905104488</v>
      </c>
      <c r="G25" s="40">
        <f>'Balance Sheet'!G23/'Balance Sheet'!G35</f>
        <v>0.12042412654267338</v>
      </c>
      <c r="H25" s="40">
        <f>'Balance Sheet'!H23/'Balance Sheet'!H35</f>
        <v>0.10716423270289682</v>
      </c>
      <c r="I25" s="40">
        <f>'Balance Sheet'!I23/'Balance Sheet'!I35</f>
        <v>0.11677269754444379</v>
      </c>
      <c r="J25" s="40">
        <f>'Balance Sheet'!J23/'Balance Sheet'!J35</f>
        <v>0.12755347424376662</v>
      </c>
      <c r="K25" s="40">
        <f>'Balance Sheet'!K23/'Balance Sheet'!K35</f>
        <v>0.12366661448666055</v>
      </c>
      <c r="L25" s="40">
        <f>'Balance Sheet'!L23/'Balance Sheet'!L35</f>
        <v>0.1159007315791601</v>
      </c>
      <c r="M25" s="40">
        <f>'Balance Sheet'!M23/'Balance Sheet'!M35</f>
        <v>0.12057529727129013</v>
      </c>
    </row>
    <row r="26" spans="1:13" x14ac:dyDescent="0.3">
      <c r="A26" s="42" t="s">
        <v>46</v>
      </c>
      <c r="B26" s="40">
        <f>'Balance Sheet'!B27/'Balance Sheet'!B35</f>
        <v>3.2532920216886134E-2</v>
      </c>
      <c r="C26" s="40">
        <f>'Balance Sheet'!C27/'Balance Sheet'!C35</f>
        <v>5.3346753900352289E-2</v>
      </c>
      <c r="D26" s="40">
        <f>'Balance Sheet'!D27/'Balance Sheet'!D35</f>
        <v>0.09</v>
      </c>
      <c r="E26" s="40">
        <f>'Balance Sheet'!E27/'Balance Sheet'!E35</f>
        <v>7.5589723999617997E-2</v>
      </c>
      <c r="F26" s="40">
        <f>'Balance Sheet'!F27/'Balance Sheet'!F35</f>
        <v>6.3492063492063489E-2</v>
      </c>
      <c r="G26" s="40">
        <f>'Balance Sheet'!G27/'Balance Sheet'!G35</f>
        <v>6.904223883191378E-2</v>
      </c>
      <c r="H26" s="40">
        <f>'Balance Sheet'!H27/'Balance Sheet'!H35</f>
        <v>9.1632750778070385E-2</v>
      </c>
      <c r="I26" s="40">
        <f>'Balance Sheet'!I27/'Balance Sheet'!I35</f>
        <v>0.11139187823295083</v>
      </c>
      <c r="J26" s="40">
        <f>'Balance Sheet'!J27/'Balance Sheet'!J35</f>
        <v>0.13643842551575749</v>
      </c>
      <c r="K26" s="40">
        <f>'Balance Sheet'!K27/'Balance Sheet'!K35</f>
        <v>8.6521904421137372E-2</v>
      </c>
      <c r="L26" s="40">
        <f>'Balance Sheet'!L27/'Balance Sheet'!L35</f>
        <v>9.902590841113941E-2</v>
      </c>
      <c r="M26" s="40">
        <f>'Balance Sheet'!M27/'Balance Sheet'!M35</f>
        <v>8.9593786514537088E-2</v>
      </c>
    </row>
    <row r="27" spans="1:13" x14ac:dyDescent="0.3">
      <c r="A27" s="42" t="s">
        <v>47</v>
      </c>
      <c r="B27" s="40">
        <f>'Balance Sheet'!B28/'Balance Sheet'!B35</f>
        <v>1.5491866769945779E-3</v>
      </c>
      <c r="C27" s="40">
        <f>'Balance Sheet'!C28/'Balance Sheet'!C35</f>
        <v>7.7377956718671361E-3</v>
      </c>
      <c r="D27" s="40">
        <f>'Balance Sheet'!D28/'Balance Sheet'!D35</f>
        <v>1.5185185185185185E-2</v>
      </c>
      <c r="E27" s="40">
        <f>'Balance Sheet'!E28/'Balance Sheet'!E35</f>
        <v>1.4898290516665075E-2</v>
      </c>
      <c r="F27" s="40">
        <f>'Balance Sheet'!F28/'Balance Sheet'!F35</f>
        <v>1.3703323055841042E-2</v>
      </c>
      <c r="G27" s="40">
        <f>'Balance Sheet'!G28/'Balance Sheet'!G35</f>
        <v>1.929428124456805E-2</v>
      </c>
      <c r="H27" s="40">
        <f>'Balance Sheet'!H28/'Balance Sheet'!H35</f>
        <v>1.7686138376825474E-2</v>
      </c>
      <c r="I27" s="40">
        <f>'Balance Sheet'!I28/'Balance Sheet'!I35</f>
        <v>2.9639098638444616E-2</v>
      </c>
      <c r="J27" s="40">
        <f>'Balance Sheet'!J28/'Balance Sheet'!J35</f>
        <v>1.3745095557524364E-2</v>
      </c>
      <c r="K27" s="40">
        <f>'Balance Sheet'!K28/'Balance Sheet'!K35</f>
        <v>8.3189838316523913E-3</v>
      </c>
      <c r="L27" s="40">
        <f>'Balance Sheet'!L28/'Balance Sheet'!L35</f>
        <v>5.0927610040014549E-3</v>
      </c>
      <c r="M27" s="40">
        <f>'Balance Sheet'!M28/'Balance Sheet'!M35</f>
        <v>1.8059660457763419E-2</v>
      </c>
    </row>
    <row r="28" spans="1:13" x14ac:dyDescent="0.3">
      <c r="A28" s="42" t="s">
        <v>69</v>
      </c>
      <c r="B28" s="40">
        <f>'Balance Sheet'!B29/'Balance Sheet'!B35</f>
        <v>0.67893106119287372</v>
      </c>
      <c r="C28" s="40">
        <f>'Balance Sheet'!C29/'Balance Sheet'!C35</f>
        <v>0.67595621540010065</v>
      </c>
      <c r="D28" s="40">
        <f>'Balance Sheet'!D29/'Balance Sheet'!D35</f>
        <v>0.5964197530864197</v>
      </c>
      <c r="E28" s="40">
        <f>'Balance Sheet'!E29/'Balance Sheet'!E35</f>
        <v>0.59817591443033136</v>
      </c>
      <c r="F28" s="40">
        <f>'Balance Sheet'!F29/'Balance Sheet'!F35</f>
        <v>0.60020554984583763</v>
      </c>
      <c r="G28" s="40">
        <f>'Balance Sheet'!G29/'Balance Sheet'!G35</f>
        <v>0.58498174865287678</v>
      </c>
      <c r="H28" s="40">
        <f>'Balance Sheet'!H29/'Balance Sheet'!H35</f>
        <v>0.61018673689250658</v>
      </c>
      <c r="I28" s="40">
        <f>'Balance Sheet'!I29/'Balance Sheet'!I35</f>
        <v>0.5458707414233902</v>
      </c>
      <c r="J28" s="40">
        <f>'Balance Sheet'!J29/'Balance Sheet'!J35</f>
        <v>0.57078850778382484</v>
      </c>
      <c r="K28" s="40">
        <f>'Balance Sheet'!K29/'Balance Sheet'!K35</f>
        <v>0.5810541852092046</v>
      </c>
      <c r="L28" s="40">
        <f>'Balance Sheet'!L29/'Balance Sheet'!L35</f>
        <v>0.59690392465947217</v>
      </c>
      <c r="M28" s="40">
        <f>'Balance Sheet'!M29/'Balance Sheet'!M35</f>
        <v>0.59325383187847958</v>
      </c>
    </row>
    <row r="29" spans="1:13" x14ac:dyDescent="0.3">
      <c r="A29" s="42" t="s">
        <v>48</v>
      </c>
      <c r="B29" s="40">
        <f>'Balance Sheet'!B30/'Balance Sheet'!B35</f>
        <v>0.27970565453137103</v>
      </c>
      <c r="C29" s="40">
        <f>'Balance Sheet'!C30/'Balance Sheet'!C35</f>
        <v>0.25515853044791142</v>
      </c>
      <c r="D29" s="40">
        <f>'Balance Sheet'!D30/'Balance Sheet'!D35</f>
        <v>0.26734567901234568</v>
      </c>
      <c r="E29" s="40">
        <f>'Balance Sheet'!E30/'Balance Sheet'!E35</f>
        <v>0.2797249546366154</v>
      </c>
      <c r="F29" s="40">
        <f>'Balance Sheet'!F30/'Balance Sheet'!F35</f>
        <v>0.27581744128506719</v>
      </c>
      <c r="G29" s="40">
        <f>'Balance Sheet'!G30/'Balance Sheet'!G35</f>
        <v>0.26768642447418739</v>
      </c>
      <c r="H29" s="40">
        <f>'Balance Sheet'!H30/'Balance Sheet'!H35</f>
        <v>0.27055901364615753</v>
      </c>
      <c r="I29" s="40">
        <f>'Balance Sheet'!I30/'Balance Sheet'!I35</f>
        <v>0.22471609489268091</v>
      </c>
      <c r="J29" s="40">
        <f>'Balance Sheet'!J30/'Balance Sheet'!J35</f>
        <v>0.21556764966459943</v>
      </c>
      <c r="K29" s="40">
        <f>'Balance Sheet'!K30/'Balance Sheet'!K35</f>
        <v>0.21937965427018807</v>
      </c>
      <c r="L29" s="40">
        <f>'Balance Sheet'!L30/'Balance Sheet'!L35</f>
        <v>0.21308758740552119</v>
      </c>
      <c r="M29" s="40">
        <f>'Balance Sheet'!M30/'Balance Sheet'!M35</f>
        <v>0.20711045432675784</v>
      </c>
    </row>
    <row r="30" spans="1:13" x14ac:dyDescent="0.3">
      <c r="A30" s="42" t="s">
        <v>97</v>
      </c>
      <c r="B30" s="40">
        <f>'Balance Sheet'!B31/'Balance Sheet'!B35</f>
        <v>0.27412858249419053</v>
      </c>
      <c r="C30" s="40">
        <f>'Balance Sheet'!C31/'Balance Sheet'!C35</f>
        <v>0.28982133870156013</v>
      </c>
      <c r="D30" s="40">
        <f>'Balance Sheet'!D31/'Balance Sheet'!D35</f>
        <v>0.170679012345679</v>
      </c>
      <c r="E30" s="40">
        <f>'Balance Sheet'!E31/'Balance Sheet'!E35</f>
        <v>0.14707286792092447</v>
      </c>
      <c r="F30" s="40">
        <f>'Balance Sheet'!F31/'Balance Sheet'!F35</f>
        <v>0.12995318031289255</v>
      </c>
      <c r="G30" s="40">
        <f>'Balance Sheet'!G31/'Balance Sheet'!G35</f>
        <v>0.15000869111767773</v>
      </c>
      <c r="H30" s="40">
        <f>'Balance Sheet'!H31/'Balance Sheet'!H35</f>
        <v>0.10483002154656453</v>
      </c>
      <c r="I30" s="40">
        <f>'Balance Sheet'!I31/'Balance Sheet'!I35</f>
        <v>0.11926987335751234</v>
      </c>
      <c r="J30" s="40">
        <f>'Balance Sheet'!J31/'Balance Sheet'!J35</f>
        <v>0.11304898114162765</v>
      </c>
      <c r="K30" s="40">
        <f>'Balance Sheet'!K31/'Balance Sheet'!K35</f>
        <v>0.10772189547599346</v>
      </c>
      <c r="L30" s="40">
        <f>'Balance Sheet'!L31/'Balance Sheet'!L35</f>
        <v>0.11612303463885858</v>
      </c>
      <c r="M30" s="40">
        <f>'Balance Sheet'!M31/'Balance Sheet'!M35</f>
        <v>0.12189841226201113</v>
      </c>
    </row>
    <row r="31" spans="1:13" x14ac:dyDescent="0.3">
      <c r="A31" s="42" t="s">
        <v>50</v>
      </c>
      <c r="B31" s="40">
        <f>'Balance Sheet'!B32/'Balance Sheet'!B35</f>
        <v>3.6328427575522848E-2</v>
      </c>
      <c r="C31" s="40">
        <f>'Balance Sheet'!C32/'Balance Sheet'!C35</f>
        <v>5.0327126321087066E-2</v>
      </c>
      <c r="D31" s="40">
        <f>'Balance Sheet'!D32/'Balance Sheet'!D35</f>
        <v>3.1666666666666669E-2</v>
      </c>
      <c r="E31" s="40">
        <f>'Balance Sheet'!E32/'Balance Sheet'!E35</f>
        <v>6.0261675102664503E-2</v>
      </c>
      <c r="F31" s="40">
        <f>'Balance Sheet'!F32/'Balance Sheet'!F35</f>
        <v>7.4492786723002552E-2</v>
      </c>
      <c r="G31" s="40">
        <f>'Balance Sheet'!G32/'Balance Sheet'!G35</f>
        <v>9.8800625760472799E-2</v>
      </c>
      <c r="H31" s="40">
        <f>'Balance Sheet'!H32/'Balance Sheet'!H35</f>
        <v>0.16381374192003831</v>
      </c>
      <c r="I31" s="40">
        <f>'Balance Sheet'!I32/'Balance Sheet'!I35</f>
        <v>0.12456150781853856</v>
      </c>
      <c r="J31" s="40">
        <f>'Balance Sheet'!J32/'Balance Sheet'!J35</f>
        <v>0.15400582204784205</v>
      </c>
      <c r="K31" s="40">
        <f>'Balance Sheet'!K32/'Balance Sheet'!K35</f>
        <v>0.14039403358901537</v>
      </c>
      <c r="L31" s="40">
        <f>'Balance Sheet'!L32/'Balance Sheet'!L35</f>
        <v>0.16642415423790469</v>
      </c>
      <c r="M31" s="40">
        <f>'Balance Sheet'!M32/'Balance Sheet'!M35</f>
        <v>0.16959928517423878</v>
      </c>
    </row>
    <row r="32" spans="1:13" x14ac:dyDescent="0.3">
      <c r="A32" s="42" t="s">
        <v>53</v>
      </c>
      <c r="B32" s="41">
        <v>1</v>
      </c>
      <c r="C32" s="41">
        <v>1</v>
      </c>
      <c r="D32" s="41">
        <v>1</v>
      </c>
      <c r="E32" s="41">
        <v>1</v>
      </c>
      <c r="F32" s="41">
        <v>1</v>
      </c>
      <c r="G32" s="41">
        <v>1</v>
      </c>
      <c r="H32" s="41">
        <v>1</v>
      </c>
      <c r="I32" s="41">
        <v>1</v>
      </c>
      <c r="J32" s="41">
        <v>1</v>
      </c>
      <c r="K32" s="41">
        <v>1</v>
      </c>
      <c r="L32" s="41">
        <v>1</v>
      </c>
      <c r="M32" s="41">
        <v>1</v>
      </c>
    </row>
  </sheetData>
  <mergeCells count="2">
    <mergeCell ref="A1:L2"/>
    <mergeCell ref="A14:L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801C-9AC5-4DFA-9E75-88465A5FDAA8}">
  <dimension ref="A2:M33"/>
  <sheetViews>
    <sheetView topLeftCell="A2" workbookViewId="0">
      <selection activeCell="P17" sqref="P17"/>
    </sheetView>
  </sheetViews>
  <sheetFormatPr defaultRowHeight="14.4" x14ac:dyDescent="0.3"/>
  <cols>
    <col min="1" max="1" width="21.33203125" customWidth="1"/>
    <col min="3" max="3" width="10.109375" bestFit="1" customWidth="1"/>
    <col min="4" max="7" width="9" bestFit="1" customWidth="1"/>
    <col min="8" max="8" width="9.109375" bestFit="1" customWidth="1"/>
    <col min="9" max="13" width="9" bestFit="1" customWidth="1"/>
  </cols>
  <sheetData>
    <row r="2" spans="1:13" x14ac:dyDescent="0.3">
      <c r="A2" s="52" t="s">
        <v>100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x14ac:dyDescent="0.3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5" spans="1:13" x14ac:dyDescent="0.3">
      <c r="A5" s="42" t="s">
        <v>54</v>
      </c>
      <c r="B5" s="43">
        <v>42064</v>
      </c>
      <c r="C5" s="43">
        <v>42430</v>
      </c>
      <c r="D5" s="43">
        <v>42795</v>
      </c>
      <c r="E5" s="43">
        <v>43160</v>
      </c>
      <c r="F5" s="43">
        <v>43525</v>
      </c>
      <c r="G5" s="43">
        <v>43891</v>
      </c>
      <c r="H5" s="43">
        <v>44256</v>
      </c>
      <c r="I5" s="43">
        <v>44621</v>
      </c>
      <c r="J5" s="43">
        <v>44986</v>
      </c>
      <c r="K5" s="43">
        <v>45352</v>
      </c>
      <c r="L5" s="43">
        <v>45717</v>
      </c>
      <c r="M5" s="43">
        <v>46082</v>
      </c>
    </row>
    <row r="6" spans="1:13" x14ac:dyDescent="0.3">
      <c r="A6" s="42" t="s">
        <v>89</v>
      </c>
      <c r="B6" s="35">
        <v>100</v>
      </c>
      <c r="C6" s="35">
        <f>'Income Statement'!C2/'Income Statement'!$B2*100</f>
        <v>113.78996942906718</v>
      </c>
      <c r="D6" s="35">
        <f>'Income Statement'!D2/'Income Statement'!$B2*100</f>
        <v>123.19259687680741</v>
      </c>
      <c r="E6" s="35">
        <f>'Income Statement'!E2/'Income Statement'!$B2*100</f>
        <v>136.02412624969017</v>
      </c>
      <c r="F6" s="35">
        <f>'Income Statement'!F2/'Income Statement'!$B2*100</f>
        <v>161.64587292406841</v>
      </c>
      <c r="G6" s="35">
        <f>'Income Statement'!G2/'Income Statement'!$B2*100</f>
        <v>190.85350739486077</v>
      </c>
      <c r="H6" s="35">
        <f>'Income Statement'!H2/'Income Statement'!$B2*100</f>
        <v>204.7013137238701</v>
      </c>
      <c r="I6" s="35">
        <f>'Income Statement'!I2/'Income Statement'!$B2*100</f>
        <v>193.79492687763366</v>
      </c>
      <c r="J6" s="35">
        <f>'Income Statement'!J2/'Income Statement'!$B2*100</f>
        <v>205.36230686606623</v>
      </c>
      <c r="K6" s="35">
        <f>'Income Statement'!K2/'Income Statement'!$B2*100</f>
        <v>239.62653887465919</v>
      </c>
      <c r="L6" s="35">
        <f>'Income Statement'!L2/'Income Statement'!$B2*100</f>
        <v>262.11683053788317</v>
      </c>
      <c r="M6" s="35">
        <f>'Income Statement'!M2/'Income Statement'!$B2*100</f>
        <v>278.0550276790878</v>
      </c>
    </row>
    <row r="7" spans="1:13" x14ac:dyDescent="0.3">
      <c r="A7" s="42" t="s">
        <v>90</v>
      </c>
      <c r="B7" s="35">
        <v>100</v>
      </c>
      <c r="C7" s="35">
        <f>'Income Statement'!C4/'Income Statement'!$B4*100</f>
        <v>111.07727845443091</v>
      </c>
      <c r="D7" s="35">
        <f>'Income Statement'!D4/'Income Statement'!$B4*100</f>
        <v>120.42209155816883</v>
      </c>
      <c r="E7" s="35">
        <f>'Income Statement'!E4/'Income Statement'!$B4*100</f>
        <v>133.25283494330114</v>
      </c>
      <c r="F7" s="35">
        <f>'Income Statement'!F4/'Income Statement'!$B4*100</f>
        <v>163.92272154556909</v>
      </c>
      <c r="G7" s="35">
        <f>'Income Statement'!G4/'Income Statement'!$B4*100</f>
        <v>191.61066778664426</v>
      </c>
      <c r="H7" s="35">
        <f>'Income Statement'!H4/'Income Statement'!$B4*100</f>
        <v>204.71440571188575</v>
      </c>
      <c r="I7" s="35">
        <f>'Income Statement'!I4/'Income Statement'!$B4*100</f>
        <v>200.12599748005039</v>
      </c>
      <c r="J7" s="35">
        <f>'Income Statement'!J4/'Income Statement'!$B4*100</f>
        <v>222.04955900881984</v>
      </c>
      <c r="K7" s="35">
        <f>'Income Statement'!K4/'Income Statement'!$B4*100</f>
        <v>243.34313313733725</v>
      </c>
      <c r="L7" s="35">
        <f>'Income Statement'!L4/'Income Statement'!$B4*100</f>
        <v>264.21671566568665</v>
      </c>
      <c r="M7" s="35">
        <f>'Income Statement'!M4/'Income Statement'!$B4*100</f>
        <v>281.21587568248634</v>
      </c>
    </row>
    <row r="8" spans="1:13" x14ac:dyDescent="0.3">
      <c r="A8" s="42" t="s">
        <v>8</v>
      </c>
      <c r="B8" s="35">
        <v>100</v>
      </c>
      <c r="C8" s="35">
        <f>'Income Statement'!C11/'Income Statement'!$B11*100</f>
        <v>123.8076773943389</v>
      </c>
      <c r="D8" s="35">
        <f>'Income Statement'!D11/'Income Statement'!$B11*100</f>
        <v>133.42380767739434</v>
      </c>
      <c r="E8" s="35">
        <f>'Income Statement'!E11/'Income Statement'!$B11*100</f>
        <v>146.25823962776269</v>
      </c>
      <c r="F8" s="35">
        <f>'Income Statement'!F11/'Income Statement'!$B11*100</f>
        <v>153.23768902675457</v>
      </c>
      <c r="G8" s="35">
        <f>'Income Statement'!G11/'Income Statement'!$B11*100</f>
        <v>188.018611865064</v>
      </c>
      <c r="H8" s="35">
        <f>'Income Statement'!H11/'Income Statement'!$B11*100</f>
        <v>204.65296626599456</v>
      </c>
      <c r="I8" s="35">
        <f>'Income Statement'!I11/'Income Statement'!$B11*100</f>
        <v>170.45366421093448</v>
      </c>
      <c r="J8" s="35">
        <f>'Income Statement'!J11/'Income Statement'!$B11*100</f>
        <v>143.73788290034898</v>
      </c>
      <c r="K8" s="35">
        <f>'Income Statement'!K11/'Income Statement'!$B11*100</f>
        <v>225.90151221403642</v>
      </c>
      <c r="L8" s="35">
        <f>'Income Statement'!L11/'Income Statement'!$B11*100</f>
        <v>254.36215587436993</v>
      </c>
      <c r="M8" s="35">
        <f>'Income Statement'!M11/'Income Statement'!$B11*100</f>
        <v>266.3823187281892</v>
      </c>
    </row>
    <row r="9" spans="1:13" x14ac:dyDescent="0.3">
      <c r="A9" s="42" t="s">
        <v>91</v>
      </c>
      <c r="B9" s="35">
        <v>100</v>
      </c>
      <c r="C9" s="35">
        <f>'Income Statement'!C13/'Income Statement'!$B13*100</f>
        <v>246.91358024691357</v>
      </c>
      <c r="D9" s="35">
        <f>'Income Statement'!D13/'Income Statement'!$B13*100</f>
        <v>141.97530864197532</v>
      </c>
      <c r="E9" s="35">
        <f>'Income Statement'!E13/'Income Statement'!$B13*100</f>
        <v>129.62962962962962</v>
      </c>
      <c r="F9" s="35">
        <f>'Income Statement'!F13/'Income Statement'!$B13*100</f>
        <v>86.419753086419746</v>
      </c>
      <c r="G9" s="35">
        <f>'Income Statement'!G13/'Income Statement'!$B13*100</f>
        <v>204.93827160493828</v>
      </c>
      <c r="H9" s="35">
        <f>'Income Statement'!H13/'Income Statement'!$B13*100</f>
        <v>3944.4444444444443</v>
      </c>
      <c r="I9" s="35">
        <f>'Income Statement'!I13/'Income Statement'!$B13*100</f>
        <v>187.6543209876543</v>
      </c>
      <c r="J9" s="35">
        <f>'Income Statement'!J13/'Income Statement'!$B13*100</f>
        <v>359.25925925925924</v>
      </c>
      <c r="K9" s="35">
        <f>'Income Statement'!K13/'Income Statement'!$B13*100</f>
        <v>451.85185185185179</v>
      </c>
      <c r="L9" s="35">
        <f>'Income Statement'!L13/'Income Statement'!$B13*100</f>
        <v>756.79012345679007</v>
      </c>
      <c r="M9" s="35">
        <f>'Income Statement'!M13/'Income Statement'!$B13*100</f>
        <v>498.76543209876542</v>
      </c>
    </row>
    <row r="10" spans="1:13" x14ac:dyDescent="0.3">
      <c r="A10" s="42" t="s">
        <v>12</v>
      </c>
      <c r="B10" s="35">
        <v>100</v>
      </c>
      <c r="C10" s="35">
        <f>'Income Statement'!C16/'Income Statement'!$B16*100</f>
        <v>160.625</v>
      </c>
      <c r="D10" s="35">
        <f>'Income Statement'!D16/'Income Statement'!$B16*100</f>
        <v>41.875</v>
      </c>
      <c r="E10" s="35">
        <f>'Income Statement'!E16/'Income Statement'!$B16*100</f>
        <v>48.75</v>
      </c>
      <c r="F10" s="35">
        <f>'Income Statement'!F16/'Income Statement'!$B16*100</f>
        <v>164.375</v>
      </c>
      <c r="G10" s="35">
        <f>'Income Statement'!G16/'Income Statement'!$B16*100</f>
        <v>190.625</v>
      </c>
      <c r="H10" s="35">
        <f>'Income Statement'!H16/'Income Statement'!$B16*100</f>
        <v>46.25</v>
      </c>
      <c r="I10" s="35">
        <f>'Income Statement'!I16/'Income Statement'!$B16*100</f>
        <v>30.625000000000004</v>
      </c>
      <c r="J10" s="35">
        <f>'Income Statement'!J16/'Income Statement'!$B16*100</f>
        <v>87.5</v>
      </c>
      <c r="K10" s="35">
        <f>'Income Statement'!K16/'Income Statement'!$B16*100</f>
        <v>181.25</v>
      </c>
      <c r="L10" s="35">
        <f>'Income Statement'!L16/'Income Statement'!$B16*100</f>
        <v>285.625</v>
      </c>
      <c r="M10" s="35">
        <f>'Income Statement'!M16/'Income Statement'!$B16*100</f>
        <v>240</v>
      </c>
    </row>
    <row r="11" spans="1:13" x14ac:dyDescent="0.3">
      <c r="A11" s="42" t="s">
        <v>13</v>
      </c>
      <c r="B11" s="35">
        <v>100</v>
      </c>
      <c r="C11" s="35">
        <f>'Income Statement'!C17/'Income Statement'!$B17*100</f>
        <v>117.7177177177177</v>
      </c>
      <c r="D11" s="35">
        <f>'Income Statement'!D17/'Income Statement'!$B17*100</f>
        <v>128.52852852852851</v>
      </c>
      <c r="E11" s="35">
        <f>'Income Statement'!E17/'Income Statement'!$B17*100</f>
        <v>167.56756756756758</v>
      </c>
      <c r="F11" s="35">
        <f>'Income Statement'!F17/'Income Statement'!$B17*100</f>
        <v>200.60060060060061</v>
      </c>
      <c r="G11" s="35">
        <f>'Income Statement'!G17/'Income Statement'!$B17*100</f>
        <v>290.39039039039039</v>
      </c>
      <c r="H11" s="35">
        <f>'Income Statement'!H17/'Income Statement'!$B17*100</f>
        <v>316.81681681681681</v>
      </c>
      <c r="I11" s="35">
        <f>'Income Statement'!I17/'Income Statement'!$B17*100</f>
        <v>338.43843843843848</v>
      </c>
      <c r="J11" s="35">
        <f>'Income Statement'!J17/'Income Statement'!$B17*100</f>
        <v>373.87387387387389</v>
      </c>
      <c r="K11" s="35">
        <f>'Income Statement'!K17/'Income Statement'!$B17*100</f>
        <v>457.05705705705702</v>
      </c>
      <c r="L11" s="35">
        <f>'Income Statement'!L17/'Income Statement'!$B17*100</f>
        <v>495.1951951951952</v>
      </c>
      <c r="M11" s="35">
        <f>'Income Statement'!M17/'Income Statement'!$B17*100</f>
        <v>533.93393393393399</v>
      </c>
    </row>
    <row r="12" spans="1:13" x14ac:dyDescent="0.3">
      <c r="A12" s="42" t="s">
        <v>93</v>
      </c>
      <c r="B12" s="35">
        <v>100</v>
      </c>
      <c r="C12" s="35">
        <f>'Income Statement'!C18/'Income Statement'!$B18*100</f>
        <v>126.56826568265683</v>
      </c>
      <c r="D12" s="35">
        <f>'Income Statement'!D18/'Income Statement'!$B18*100</f>
        <v>141.19003690036899</v>
      </c>
      <c r="E12" s="35">
        <f>'Income Statement'!E18/'Income Statement'!$B18*100</f>
        <v>149.49261992619927</v>
      </c>
      <c r="F12" s="35">
        <f>'Income Statement'!F18/'Income Statement'!$B18*100</f>
        <v>142.57380073800738</v>
      </c>
      <c r="G12" s="35">
        <f>'Income Statement'!G18/'Income Statement'!$B18*100</f>
        <v>172.64760147601476</v>
      </c>
      <c r="H12" s="35">
        <f>'Income Statement'!H18/'Income Statement'!$B18*100</f>
        <v>338.74538745387451</v>
      </c>
      <c r="I12" s="35">
        <f>'Income Statement'!I18/'Income Statement'!$B18*100</f>
        <v>155.58118081180811</v>
      </c>
      <c r="J12" s="35">
        <f>'Income Statement'!J18/'Income Statement'!$B18*100</f>
        <v>120.47970479704797</v>
      </c>
      <c r="K12" s="35">
        <f>'Income Statement'!K18/'Income Statement'!$B18*100</f>
        <v>202.02952029520293</v>
      </c>
      <c r="L12" s="35">
        <f>'Income Statement'!L18/'Income Statement'!$B18*100</f>
        <v>233.67158671586714</v>
      </c>
      <c r="M12" s="35">
        <f>'Income Statement'!M18/'Income Statement'!$B18*100</f>
        <v>235.79335793357933</v>
      </c>
    </row>
    <row r="13" spans="1:13" x14ac:dyDescent="0.3">
      <c r="A13" s="42" t="s">
        <v>94</v>
      </c>
      <c r="B13" s="35">
        <v>100</v>
      </c>
      <c r="C13" s="35">
        <f>'Income Statement'!C20/'Income Statement'!$B20*100</f>
        <v>128.83513685550605</v>
      </c>
      <c r="D13" s="35">
        <f>'Income Statement'!D20/'Income Statement'!$B20*100</f>
        <v>146.46721833227244</v>
      </c>
      <c r="E13" s="35">
        <f>'Income Statement'!E20/'Income Statement'!$B20*100</f>
        <v>154.23297262889878</v>
      </c>
      <c r="F13" s="35">
        <f>'Income Statement'!F20/'Income Statement'!$B20*100</f>
        <v>150.47740292807131</v>
      </c>
      <c r="G13" s="35">
        <f>'Income Statement'!G20/'Income Statement'!$B20*100</f>
        <v>181.031190324634</v>
      </c>
      <c r="H13" s="35">
        <f>'Income Statement'!H20/'Income Statement'!$B20*100</f>
        <v>339.52896244430298</v>
      </c>
      <c r="I13" s="35">
        <f>'Income Statement'!I20/'Income Statement'!$B20*100</f>
        <v>168.49140674729472</v>
      </c>
      <c r="J13" s="35">
        <f>'Income Statement'!J20/'Income Statement'!$B20*100</f>
        <v>122.72437937619351</v>
      </c>
      <c r="K13" s="35">
        <f>'Income Statement'!K20/'Income Statement'!$B20*100</f>
        <v>201.71865054105663</v>
      </c>
      <c r="L13" s="35">
        <f>'Income Statement'!L20/'Income Statement'!$B20*100</f>
        <v>221.76957352005093</v>
      </c>
      <c r="M13" s="35">
        <f>'Income Statement'!M20/'Income Statement'!$B20*100</f>
        <v>222.97899427116485</v>
      </c>
    </row>
    <row r="14" spans="1:13" x14ac:dyDescent="0.3">
      <c r="A14" s="42" t="s">
        <v>95</v>
      </c>
      <c r="B14" s="35">
        <v>100</v>
      </c>
      <c r="C14" s="35">
        <f>'Income Statement'!C27/'Income Statement'!$B27*100</f>
        <v>128.2802075611564</v>
      </c>
      <c r="D14" s="35">
        <f>'Income Statement'!D27/'Income Statement'!$B27*100</f>
        <v>145.6263899184581</v>
      </c>
      <c r="E14" s="35">
        <f>'Income Statement'!E27/'Income Statement'!$B27*100</f>
        <v>153.29873980726464</v>
      </c>
      <c r="F14" s="35">
        <f>'Income Statement'!F27/'Income Statement'!$B27*100</f>
        <v>149.59229058561897</v>
      </c>
      <c r="G14" s="35">
        <f>'Income Statement'!G27/'Income Statement'!$B27*100</f>
        <v>179.98517420311342</v>
      </c>
      <c r="H14" s="35">
        <f>'Income Statement'!H27/'Income Statement'!$B27*100</f>
        <v>337.47220163083762</v>
      </c>
      <c r="I14" s="35">
        <f>'Income Statement'!I27/'Income Statement'!$B27*100</f>
        <v>167.53150481838398</v>
      </c>
      <c r="J14" s="35">
        <f>'Income Statement'!J27/'Income Statement'!$B27*100</f>
        <v>121.94217939214231</v>
      </c>
      <c r="K14" s="35">
        <f>'Income Statement'!K27/'Income Statement'!$B27*100</f>
        <v>200.70422535211264</v>
      </c>
      <c r="L14" s="35">
        <f>'Income Statement'!L27/'Income Statement'!$B27*100</f>
        <v>222.46108228317274</v>
      </c>
      <c r="M14" s="35">
        <f>'Income Statement'!M27/'Income Statement'!$B27*100</f>
        <v>223.64714603409931</v>
      </c>
    </row>
    <row r="16" spans="1:13" x14ac:dyDescent="0.3">
      <c r="A16" s="52" t="s">
        <v>101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</row>
    <row r="17" spans="1:13" x14ac:dyDescent="0.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</row>
    <row r="19" spans="1:13" x14ac:dyDescent="0.3">
      <c r="A19" s="42" t="s">
        <v>54</v>
      </c>
      <c r="B19" s="43">
        <v>42064</v>
      </c>
      <c r="C19" s="43">
        <v>42430</v>
      </c>
      <c r="D19" s="43">
        <v>42795</v>
      </c>
      <c r="E19" s="43">
        <v>43160</v>
      </c>
      <c r="F19" s="43">
        <v>43525</v>
      </c>
      <c r="G19" s="43">
        <v>43891</v>
      </c>
      <c r="H19" s="43">
        <v>44256</v>
      </c>
      <c r="I19" s="43">
        <v>44621</v>
      </c>
      <c r="J19" s="43">
        <v>44986</v>
      </c>
      <c r="K19" s="43">
        <v>45352</v>
      </c>
      <c r="L19" s="43">
        <v>45717</v>
      </c>
      <c r="M19" s="43">
        <v>46082</v>
      </c>
    </row>
    <row r="20" spans="1:13" x14ac:dyDescent="0.3">
      <c r="A20" s="42" t="s">
        <v>25</v>
      </c>
      <c r="B20" s="35">
        <v>100</v>
      </c>
      <c r="C20" s="35">
        <f>'Balance Sheet'!C2/'Balance Sheet'!$B2*100</f>
        <v>203.44827586206895</v>
      </c>
      <c r="D20" s="35">
        <f>'Balance Sheet'!D2/'Balance Sheet'!$B2*100</f>
        <v>203.44827586206895</v>
      </c>
      <c r="E20" s="35">
        <f>'Balance Sheet'!E2/'Balance Sheet'!$B2*100</f>
        <v>203.44827586206895</v>
      </c>
      <c r="F20" s="35">
        <f>'Balance Sheet'!F2/'Balance Sheet'!$B2*100</f>
        <v>203.44827586206895</v>
      </c>
      <c r="G20" s="35">
        <f>'Balance Sheet'!G2/'Balance Sheet'!$B2*100</f>
        <v>203.44827586206895</v>
      </c>
      <c r="H20" s="35">
        <f>'Balance Sheet'!H2/'Balance Sheet'!$B2*100</f>
        <v>203.44827586206895</v>
      </c>
      <c r="I20" s="35">
        <f>'Balance Sheet'!I2/'Balance Sheet'!$B2*100</f>
        <v>203.44827586206895</v>
      </c>
      <c r="J20" s="35">
        <f>'Balance Sheet'!J2/'Balance Sheet'!$B2*100</f>
        <v>203.44827586206895</v>
      </c>
      <c r="K20" s="35">
        <f>'Balance Sheet'!K2/'Balance Sheet'!$B2*100</f>
        <v>203.44827586206895</v>
      </c>
      <c r="L20" s="35">
        <f>'Balance Sheet'!L2/'Balance Sheet'!$B2*100</f>
        <v>200</v>
      </c>
      <c r="M20" s="35">
        <f>'Balance Sheet'!M2/'Balance Sheet'!$B2*100</f>
        <v>200</v>
      </c>
    </row>
    <row r="21" spans="1:13" x14ac:dyDescent="0.3">
      <c r="A21" s="42" t="s">
        <v>26</v>
      </c>
      <c r="B21" s="35">
        <v>100</v>
      </c>
      <c r="C21" s="35">
        <f>'Balance Sheet'!C3/'Balance Sheet'!$B3*100</f>
        <v>140.9986346791496</v>
      </c>
      <c r="D21" s="35">
        <f>'Balance Sheet'!D3/'Balance Sheet'!$B3*100</f>
        <v>181.64618685391068</v>
      </c>
      <c r="E21" s="35">
        <f>'Balance Sheet'!E3/'Balance Sheet'!$B3*100</f>
        <v>226.68227033352838</v>
      </c>
      <c r="F21" s="35">
        <f>'Balance Sheet'!F3/'Balance Sheet'!$B3*100</f>
        <v>269.78740003900919</v>
      </c>
      <c r="G21" s="35">
        <f>'Balance Sheet'!G3/'Balance Sheet'!$B3*100</f>
        <v>327.01384825433979</v>
      </c>
      <c r="H21" s="35">
        <f>'Balance Sheet'!H3/'Balance Sheet'!$B3*100</f>
        <v>426.58474741564271</v>
      </c>
      <c r="I21" s="35">
        <f>'Balance Sheet'!I3/'Balance Sheet'!$B3*100</f>
        <v>478.19387556075679</v>
      </c>
      <c r="J21" s="35">
        <f>'Balance Sheet'!J3/'Balance Sheet'!$B3*100</f>
        <v>522.35225277940322</v>
      </c>
      <c r="K21" s="35">
        <f>'Balance Sheet'!K3/'Balance Sheet'!$B3*100</f>
        <v>580.92451726155639</v>
      </c>
      <c r="L21" s="35">
        <f>'Balance Sheet'!L3/'Balance Sheet'!$B3*100</f>
        <v>635.75190169689881</v>
      </c>
      <c r="M21" s="35">
        <f>'Balance Sheet'!M3/'Balance Sheet'!$B3*100</f>
        <v>737.91691047396137</v>
      </c>
    </row>
    <row r="22" spans="1:13" x14ac:dyDescent="0.3">
      <c r="A22" s="42" t="s">
        <v>66</v>
      </c>
      <c r="B22" s="35">
        <v>100</v>
      </c>
      <c r="C22" s="35">
        <f>'Balance Sheet'!C4/'Balance Sheet'!$B4*100</f>
        <v>113.25544821388451</v>
      </c>
      <c r="D22" s="35">
        <f>'Balance Sheet'!D4/'Balance Sheet'!$B4*100</f>
        <v>75.57852168052122</v>
      </c>
      <c r="E22" s="35">
        <f>'Balance Sheet'!E4/'Balance Sheet'!$B4*100</f>
        <v>107.16692878004943</v>
      </c>
      <c r="F22" s="35">
        <f>'Balance Sheet'!F4/'Balance Sheet'!$B4*100</f>
        <v>156.52662323073469</v>
      </c>
      <c r="G22" s="35">
        <f>'Balance Sheet'!G4/'Balance Sheet'!$B4*100</f>
        <v>130.89193439676475</v>
      </c>
      <c r="H22" s="35">
        <f>'Balance Sheet'!H4/'Balance Sheet'!$B4*100</f>
        <v>119.95057290496518</v>
      </c>
      <c r="I22" s="35">
        <f>'Balance Sheet'!I4/'Balance Sheet'!$B4*100</f>
        <v>64.053021792855532</v>
      </c>
      <c r="J22" s="35">
        <f>'Balance Sheet'!J4/'Balance Sheet'!$B4*100</f>
        <v>118.75982925185352</v>
      </c>
      <c r="K22" s="35">
        <f>'Balance Sheet'!K4/'Balance Sheet'!$B4*100</f>
        <v>149.35969445068525</v>
      </c>
      <c r="L22" s="35">
        <f>'Balance Sheet'!L4/'Balance Sheet'!$B4*100</f>
        <v>185.64367557852168</v>
      </c>
      <c r="M22" s="35">
        <f>'Balance Sheet'!M4/'Balance Sheet'!$B4*100</f>
        <v>181.37497191642328</v>
      </c>
    </row>
    <row r="23" spans="1:13" x14ac:dyDescent="0.3">
      <c r="A23" s="42" t="s">
        <v>67</v>
      </c>
      <c r="B23" s="35">
        <v>100</v>
      </c>
      <c r="C23" s="35">
        <f>'Balance Sheet'!C10/'Balance Sheet'!$B10*100</f>
        <v>108.02300938540721</v>
      </c>
      <c r="D23" s="35">
        <f>'Balance Sheet'!D10/'Balance Sheet'!$B10*100</f>
        <v>104.87435664547382</v>
      </c>
      <c r="E23" s="35">
        <f>'Balance Sheet'!E10/'Balance Sheet'!$B10*100</f>
        <v>135.99757795943083</v>
      </c>
      <c r="F23" s="35">
        <f>'Balance Sheet'!F10/'Balance Sheet'!$B10*100</f>
        <v>163.91159551922493</v>
      </c>
      <c r="G23" s="35">
        <f>'Balance Sheet'!G10/'Balance Sheet'!$B10*100</f>
        <v>185.07417499243113</v>
      </c>
      <c r="H23" s="35">
        <f>'Balance Sheet'!H10/'Balance Sheet'!$B10*100</f>
        <v>186.10354223433242</v>
      </c>
      <c r="I23" s="35">
        <f>'Balance Sheet'!I10/'Balance Sheet'!$B10*100</f>
        <v>188.04117468967604</v>
      </c>
      <c r="J23" s="35">
        <f>'Balance Sheet'!J10/'Balance Sheet'!$B10*100</f>
        <v>223.40296699969727</v>
      </c>
      <c r="K23" s="35">
        <f>'Balance Sheet'!K10/'Balance Sheet'!$B10*100</f>
        <v>249.07659703300033</v>
      </c>
      <c r="L23" s="35">
        <f>'Balance Sheet'!L10/'Balance Sheet'!$B10*100</f>
        <v>259.33999394489859</v>
      </c>
      <c r="M23" s="35">
        <f>'Balance Sheet'!M10/'Balance Sheet'!$B10*100</f>
        <v>370.33000302755067</v>
      </c>
    </row>
    <row r="24" spans="1:13" x14ac:dyDescent="0.3">
      <c r="A24" s="42" t="s">
        <v>124</v>
      </c>
      <c r="B24" s="35">
        <v>100</v>
      </c>
      <c r="C24" s="35">
        <f>'Balance Sheet'!C15/'Balance Sheet'!$B15*100</f>
        <v>123.12935708752906</v>
      </c>
      <c r="D24" s="35">
        <f>'Balance Sheet'!D15/'Balance Sheet'!$B15*100</f>
        <v>125.48412083656079</v>
      </c>
      <c r="E24" s="35">
        <f>'Balance Sheet'!E15/'Balance Sheet'!$B15*100</f>
        <v>162.21533694810225</v>
      </c>
      <c r="F24" s="35">
        <f>'Balance Sheet'!F15/'Balance Sheet'!$B15*100</f>
        <v>203.49341595662275</v>
      </c>
      <c r="G24" s="35">
        <f>'Balance Sheet'!G15/'Balance Sheet'!$B15*100</f>
        <v>222.81177381874517</v>
      </c>
      <c r="H24" s="35">
        <f>'Balance Sheet'!H15/'Balance Sheet'!$B15*100</f>
        <v>258.83810999225403</v>
      </c>
      <c r="I24" s="35">
        <f>'Balance Sheet'!I15/'Balance Sheet'!$B15*100</f>
        <v>260.55770720371805</v>
      </c>
      <c r="J24" s="35">
        <f>'Balance Sheet'!J15/'Balance Sheet'!$B15*100</f>
        <v>306.00309837335396</v>
      </c>
      <c r="K24" s="35">
        <f>'Balance Sheet'!K15/'Balance Sheet'!$B15*100</f>
        <v>346.37490317583269</v>
      </c>
      <c r="L24" s="35">
        <f>'Balance Sheet'!L15/'Balance Sheet'!$B15*100</f>
        <v>383.28427575522852</v>
      </c>
      <c r="M24" s="35">
        <f>'Balance Sheet'!M15/'Balance Sheet'!$B15*100</f>
        <v>450.78233927188228</v>
      </c>
    </row>
    <row r="25" spans="1:13" x14ac:dyDescent="0.3">
      <c r="A25" s="42" t="s">
        <v>68</v>
      </c>
      <c r="B25" s="35">
        <v>100</v>
      </c>
      <c r="C25" s="35">
        <f>'Balance Sheet'!C16/'Balance Sheet'!$B16*100</f>
        <v>112.79007015650298</v>
      </c>
      <c r="D25" s="35">
        <f>'Balance Sheet'!D16/'Balance Sheet'!$B16*100</f>
        <v>130.43712898003238</v>
      </c>
      <c r="E25" s="35">
        <f>'Balance Sheet'!E16/'Balance Sheet'!$B16*100</f>
        <v>175.9579060982191</v>
      </c>
      <c r="F25" s="35">
        <f>'Balance Sheet'!F16/'Balance Sheet'!$B16*100</f>
        <v>228.68321640582838</v>
      </c>
      <c r="G25" s="35">
        <f>'Balance Sheet'!G16/'Balance Sheet'!$B16*100</f>
        <v>253.53480841878039</v>
      </c>
      <c r="H25" s="35">
        <f>'Balance Sheet'!H16/'Balance Sheet'!$B16*100</f>
        <v>252.94117647058823</v>
      </c>
      <c r="I25" s="35">
        <f>'Balance Sheet'!I16/'Balance Sheet'!$B16*100</f>
        <v>284.18780356179172</v>
      </c>
      <c r="J25" s="35">
        <f>'Balance Sheet'!J16/'Balance Sheet'!$B16*100</f>
        <v>297.46357258499734</v>
      </c>
      <c r="K25" s="35">
        <f>'Balance Sheet'!K16/'Balance Sheet'!$B16*100</f>
        <v>391.06853750674583</v>
      </c>
      <c r="L25" s="35">
        <f>'Balance Sheet'!L16/'Balance Sheet'!$B16*100</f>
        <v>399.19050188882892</v>
      </c>
      <c r="M25" s="35">
        <f>'Balance Sheet'!M16/'Balance Sheet'!$B16*100</f>
        <v>469.69778737182946</v>
      </c>
    </row>
    <row r="26" spans="1:13" x14ac:dyDescent="0.3">
      <c r="A26" s="42" t="s">
        <v>42</v>
      </c>
      <c r="B26" s="35">
        <v>100</v>
      </c>
      <c r="C26" s="35">
        <f>'Balance Sheet'!C23/'Balance Sheet'!$B23*100</f>
        <v>81.624758220502898</v>
      </c>
      <c r="D26" s="35">
        <f>'Balance Sheet'!D23/'Balance Sheet'!$B23*100</f>
        <v>80.851063829787222</v>
      </c>
      <c r="E26" s="35">
        <f>'Balance Sheet'!E23/'Balance Sheet'!$B23*100</f>
        <v>190.90909090909091</v>
      </c>
      <c r="F26" s="35">
        <f>'Balance Sheet'!F23/'Balance Sheet'!$B23*100</f>
        <v>296.80851063829789</v>
      </c>
      <c r="G26" s="35">
        <f>'Balance Sheet'!G23/'Balance Sheet'!$B23*100</f>
        <v>335.00967117988398</v>
      </c>
      <c r="H26" s="35">
        <f>'Balance Sheet'!H23/'Balance Sheet'!$B23*100</f>
        <v>346.32495164410057</v>
      </c>
      <c r="I26" s="35">
        <f>'Balance Sheet'!I23/'Balance Sheet'!$B23*100</f>
        <v>379.88394584139263</v>
      </c>
      <c r="J26" s="35">
        <f>'Balance Sheet'!J23/'Balance Sheet'!$B23*100</f>
        <v>487.33075435203091</v>
      </c>
      <c r="K26" s="35">
        <f>'Balance Sheet'!K23/'Balance Sheet'!$B23*100</f>
        <v>534.81624758220505</v>
      </c>
      <c r="L26" s="35">
        <f>'Balance Sheet'!L23/'Balance Sheet'!$B23*100</f>
        <v>554.64216634429397</v>
      </c>
      <c r="M26" s="35">
        <f>'Balance Sheet'!M23/'Balance Sheet'!$B23*100</f>
        <v>678.62669245647965</v>
      </c>
    </row>
    <row r="27" spans="1:13" x14ac:dyDescent="0.3">
      <c r="A27" s="42" t="s">
        <v>46</v>
      </c>
      <c r="B27" s="35">
        <v>100</v>
      </c>
      <c r="C27" s="35">
        <f>'Balance Sheet'!C27/'Balance Sheet'!$B27*100</f>
        <v>201.9047619047619</v>
      </c>
      <c r="D27" s="35">
        <f>'Balance Sheet'!D27/'Balance Sheet'!$B27*100</f>
        <v>347.14285714285717</v>
      </c>
      <c r="E27" s="35">
        <f>'Balance Sheet'!E27/'Balance Sheet'!$B27*100</f>
        <v>376.90476190476193</v>
      </c>
      <c r="F27" s="35">
        <f>'Balance Sheet'!F27/'Balance Sheet'!$B27*100</f>
        <v>397.14285714285717</v>
      </c>
      <c r="G27" s="35">
        <f>'Balance Sheet'!G27/'Balance Sheet'!$B27*100</f>
        <v>472.85714285714289</v>
      </c>
      <c r="H27" s="35">
        <f>'Balance Sheet'!H27/'Balance Sheet'!$B27*100</f>
        <v>729.04761904761904</v>
      </c>
      <c r="I27" s="35">
        <f>'Balance Sheet'!I27/'Balance Sheet'!$B27*100</f>
        <v>892.14285714285711</v>
      </c>
      <c r="J27" s="35">
        <f>'Balance Sheet'!J27/'Balance Sheet'!$B27*100</f>
        <v>1283.3333333333335</v>
      </c>
      <c r="K27" s="35">
        <f>'Balance Sheet'!K27/'Balance Sheet'!$B27*100</f>
        <v>921.19047619047615</v>
      </c>
      <c r="L27" s="35">
        <f>'Balance Sheet'!L27/'Balance Sheet'!$B27*100</f>
        <v>1166.6666666666665</v>
      </c>
      <c r="M27" s="35">
        <f>'Balance Sheet'!M27/'Balance Sheet'!$B27*100</f>
        <v>1241.4285714285716</v>
      </c>
    </row>
    <row r="28" spans="1:13" x14ac:dyDescent="0.3">
      <c r="A28" s="42" t="s">
        <v>47</v>
      </c>
      <c r="B28" s="35">
        <v>100</v>
      </c>
      <c r="C28" s="35">
        <f>'Balance Sheet'!C28/'Balance Sheet'!$B28*100</f>
        <v>615</v>
      </c>
      <c r="D28" s="35">
        <f>'Balance Sheet'!D28/'Balance Sheet'!$B28*100</f>
        <v>1230</v>
      </c>
      <c r="E28" s="35">
        <f>'Balance Sheet'!E28/'Balance Sheet'!$B28*100</f>
        <v>1560</v>
      </c>
      <c r="F28" s="35">
        <f>'Balance Sheet'!F28/'Balance Sheet'!$B28*100</f>
        <v>1800</v>
      </c>
      <c r="G28" s="35">
        <f>'Balance Sheet'!G28/'Balance Sheet'!$B28*100</f>
        <v>2775</v>
      </c>
      <c r="H28" s="35">
        <f>'Balance Sheet'!H28/'Balance Sheet'!$B28*100</f>
        <v>2955</v>
      </c>
      <c r="I28" s="35">
        <f>'Balance Sheet'!I28/'Balance Sheet'!$B28*100</f>
        <v>4985</v>
      </c>
      <c r="J28" s="35">
        <f>'Balance Sheet'!J28/'Balance Sheet'!$B28*100</f>
        <v>2715</v>
      </c>
      <c r="K28" s="35">
        <f>'Balance Sheet'!K28/'Balance Sheet'!$B28*100</f>
        <v>1860.0000000000002</v>
      </c>
      <c r="L28" s="35">
        <f>'Balance Sheet'!L28/'Balance Sheet'!$B28*100</f>
        <v>1260</v>
      </c>
      <c r="M28" s="35">
        <f>'Balance Sheet'!M28/'Balance Sheet'!$B28*100</f>
        <v>5255</v>
      </c>
    </row>
    <row r="29" spans="1:13" x14ac:dyDescent="0.3">
      <c r="A29" s="42" t="s">
        <v>69</v>
      </c>
      <c r="B29" s="35">
        <v>100</v>
      </c>
      <c r="C29" s="35">
        <f>'Balance Sheet'!C29/'Balance Sheet'!$B29*100</f>
        <v>122.58984597832287</v>
      </c>
      <c r="D29" s="35">
        <f>'Balance Sheet'!D29/'Balance Sheet'!$B29*100</f>
        <v>110.2338847689675</v>
      </c>
      <c r="E29" s="35">
        <f>'Balance Sheet'!E29/'Balance Sheet'!$B29*100</f>
        <v>142.92070735881344</v>
      </c>
      <c r="F29" s="35">
        <f>'Balance Sheet'!F29/'Balance Sheet'!$B29*100</f>
        <v>179.8973188819167</v>
      </c>
      <c r="G29" s="35">
        <f>'Balance Sheet'!G29/'Balance Sheet'!$B29*100</f>
        <v>191.97946377638334</v>
      </c>
      <c r="H29" s="35">
        <f>'Balance Sheet'!H29/'Balance Sheet'!$B29*100</f>
        <v>232.62977752424416</v>
      </c>
      <c r="I29" s="35">
        <f>'Balance Sheet'!I29/'Balance Sheet'!$B29*100</f>
        <v>209.49229891614377</v>
      </c>
      <c r="J29" s="35">
        <f>'Balance Sheet'!J29/'Balance Sheet'!$B29*100</f>
        <v>257.26183685111238</v>
      </c>
      <c r="K29" s="35">
        <f>'Balance Sheet'!K29/'Balance Sheet'!$B29*100</f>
        <v>296.44038790644612</v>
      </c>
      <c r="L29" s="35">
        <f>'Balance Sheet'!L29/'Balance Sheet'!$B29*100</f>
        <v>336.97661152310326</v>
      </c>
      <c r="M29" s="35">
        <f>'Balance Sheet'!M29/'Balance Sheet'!$B29*100</f>
        <v>393.8961779806047</v>
      </c>
    </row>
    <row r="30" spans="1:13" x14ac:dyDescent="0.3">
      <c r="A30" s="42" t="s">
        <v>48</v>
      </c>
      <c r="B30" s="35">
        <v>100</v>
      </c>
      <c r="C30" s="35">
        <f>'Balance Sheet'!C30/'Balance Sheet'!$B30*100</f>
        <v>112.32345610634174</v>
      </c>
      <c r="D30" s="35">
        <f>'Balance Sheet'!D30/'Balance Sheet'!$B30*100</f>
        <v>119.93907504846304</v>
      </c>
      <c r="E30" s="35">
        <f>'Balance Sheet'!E30/'Balance Sheet'!$B30*100</f>
        <v>162.22653004707837</v>
      </c>
      <c r="F30" s="35">
        <f>'Balance Sheet'!F30/'Balance Sheet'!$B30*100</f>
        <v>200.66463583494877</v>
      </c>
      <c r="G30" s="35">
        <f>'Balance Sheet'!G30/'Balance Sheet'!$B30*100</f>
        <v>213.23733037939627</v>
      </c>
      <c r="H30" s="35">
        <f>'Balance Sheet'!H30/'Balance Sheet'!$B30*100</f>
        <v>250.37385765715868</v>
      </c>
      <c r="I30" s="35">
        <f>'Balance Sheet'!I30/'Balance Sheet'!$B30*100</f>
        <v>209.33259484907231</v>
      </c>
      <c r="J30" s="35">
        <f>'Balance Sheet'!J30/'Balance Sheet'!$B30*100</f>
        <v>235.8349487676544</v>
      </c>
      <c r="K30" s="35">
        <f>'Balance Sheet'!K30/'Balance Sheet'!$B30*100</f>
        <v>271.66989753530879</v>
      </c>
      <c r="L30" s="35">
        <f>'Balance Sheet'!L30/'Balance Sheet'!$B30*100</f>
        <v>291.99667682082526</v>
      </c>
      <c r="M30" s="35">
        <f>'Balance Sheet'!M30/'Balance Sheet'!$B30*100</f>
        <v>333.78565494322902</v>
      </c>
    </row>
    <row r="31" spans="1:13" x14ac:dyDescent="0.3">
      <c r="A31" s="42" t="s">
        <v>97</v>
      </c>
      <c r="B31" s="35">
        <v>100</v>
      </c>
      <c r="C31" s="35">
        <f>'Balance Sheet'!C31/'Balance Sheet'!$B31*100</f>
        <v>130.17801638881039</v>
      </c>
      <c r="D31" s="35">
        <f>'Balance Sheet'!D31/'Balance Sheet'!$B31*100</f>
        <v>78.129415089008191</v>
      </c>
      <c r="E31" s="35">
        <f>'Balance Sheet'!E31/'Balance Sheet'!$B31*100</f>
        <v>87.030234529528116</v>
      </c>
      <c r="F31" s="35">
        <f>'Balance Sheet'!F31/'Balance Sheet'!$B31*100</f>
        <v>96.467928793444486</v>
      </c>
      <c r="G31" s="35">
        <f>'Balance Sheet'!G31/'Balance Sheet'!$B31*100</f>
        <v>121.92709805029669</v>
      </c>
      <c r="H31" s="35">
        <f>'Balance Sheet'!H31/'Balance Sheet'!$B31*100</f>
        <v>98.982763492512007</v>
      </c>
      <c r="I31" s="35">
        <f>'Balance Sheet'!I31/'Balance Sheet'!$B31*100</f>
        <v>113.36535744560609</v>
      </c>
      <c r="J31" s="35">
        <f>'Balance Sheet'!J31/'Balance Sheet'!$B31*100</f>
        <v>126.19384006781577</v>
      </c>
      <c r="K31" s="35">
        <f>'Balance Sheet'!K31/'Balance Sheet'!$B31*100</f>
        <v>136.11189601582367</v>
      </c>
      <c r="L31" s="35">
        <f>'Balance Sheet'!L31/'Balance Sheet'!$B31*100</f>
        <v>162.36224922294434</v>
      </c>
      <c r="M31" s="35">
        <f>'Balance Sheet'!M31/'Balance Sheet'!$B31*100</f>
        <v>200.45210511443909</v>
      </c>
    </row>
    <row r="32" spans="1:13" x14ac:dyDescent="0.3">
      <c r="A32" s="42" t="s">
        <v>50</v>
      </c>
      <c r="B32" s="35">
        <v>100</v>
      </c>
      <c r="C32" s="35">
        <f>'Balance Sheet'!C32/'Balance Sheet'!$B32*100</f>
        <v>170.57569296375266</v>
      </c>
      <c r="D32" s="35">
        <f>'Balance Sheet'!D32/'Balance Sheet'!$B32*100</f>
        <v>109.38166311300638</v>
      </c>
      <c r="E32" s="35">
        <f>'Balance Sheet'!E32/'Balance Sheet'!$B32*100</f>
        <v>269.08315565031984</v>
      </c>
      <c r="F32" s="35">
        <f>'Balance Sheet'!F32/'Balance Sheet'!$B32*100</f>
        <v>417.27078891257997</v>
      </c>
      <c r="G32" s="35">
        <f>'Balance Sheet'!G32/'Balance Sheet'!$B32*100</f>
        <v>605.97014925373139</v>
      </c>
      <c r="H32" s="35">
        <f>'Balance Sheet'!H32/'Balance Sheet'!$B32*100</f>
        <v>1167.1641791044776</v>
      </c>
      <c r="I32" s="35">
        <f>'Balance Sheet'!I32/'Balance Sheet'!$B32*100</f>
        <v>893.39019189765452</v>
      </c>
      <c r="J32" s="35">
        <f>'Balance Sheet'!J32/'Balance Sheet'!$B32*100</f>
        <v>1297.2281449893392</v>
      </c>
      <c r="K32" s="35">
        <f>'Balance Sheet'!K32/'Balance Sheet'!$B32*100</f>
        <v>1338.5927505330492</v>
      </c>
      <c r="L32" s="35">
        <f>'Balance Sheet'!L32/'Balance Sheet'!$B32*100</f>
        <v>1755.8635394456289</v>
      </c>
      <c r="M32" s="35">
        <f>'Balance Sheet'!M32/'Balance Sheet'!$B32*100</f>
        <v>2104.4776119402986</v>
      </c>
    </row>
    <row r="33" spans="1:13" x14ac:dyDescent="0.3">
      <c r="A33" s="42" t="s">
        <v>53</v>
      </c>
      <c r="B33" s="35">
        <v>100</v>
      </c>
      <c r="C33" s="35">
        <f>'Balance Sheet'!C35/'Balance Sheet'!$B35*100</f>
        <v>123.12935708752906</v>
      </c>
      <c r="D33" s="35">
        <f>'Balance Sheet'!D35/'Balance Sheet'!$B35*100</f>
        <v>125.48412083656079</v>
      </c>
      <c r="E33" s="35">
        <f>'Balance Sheet'!E35/'Balance Sheet'!$B35*100</f>
        <v>162.21533694810225</v>
      </c>
      <c r="F33" s="35">
        <f>'Balance Sheet'!F35/'Balance Sheet'!$B35*100</f>
        <v>203.49341595662275</v>
      </c>
      <c r="G33" s="35">
        <f>'Balance Sheet'!G35/'Balance Sheet'!$B35*100</f>
        <v>222.81177381874517</v>
      </c>
      <c r="H33" s="35">
        <f>'Balance Sheet'!H35/'Balance Sheet'!$B35*100</f>
        <v>258.83810999225403</v>
      </c>
      <c r="I33" s="35">
        <f>'Balance Sheet'!I35/'Balance Sheet'!$B35*100</f>
        <v>260.55770720371805</v>
      </c>
      <c r="J33" s="35">
        <f>'Balance Sheet'!J35/'Balance Sheet'!$B35*100</f>
        <v>306.00309837335396</v>
      </c>
      <c r="K33" s="35">
        <f>'Balance Sheet'!K35/'Balance Sheet'!$B35*100</f>
        <v>346.37490317583269</v>
      </c>
      <c r="L33" s="35">
        <f>'Balance Sheet'!L35/'Balance Sheet'!$B35*100</f>
        <v>383.28427575522852</v>
      </c>
      <c r="M33" s="35">
        <f>'Balance Sheet'!M35/'Balance Sheet'!$B35*100</f>
        <v>450.78233927188228</v>
      </c>
    </row>
  </sheetData>
  <mergeCells count="2">
    <mergeCell ref="A2:M3"/>
    <mergeCell ref="A16:M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8388-3B29-47AF-B081-F19BCC6D3C71}">
  <dimension ref="A1:M33"/>
  <sheetViews>
    <sheetView workbookViewId="0">
      <selection activeCell="C21" sqref="C21:M21"/>
    </sheetView>
  </sheetViews>
  <sheetFormatPr defaultRowHeight="14.4" x14ac:dyDescent="0.3"/>
  <cols>
    <col min="1" max="1" width="23.109375" customWidth="1"/>
    <col min="2" max="13" width="9.109375" bestFit="1" customWidth="1"/>
  </cols>
  <sheetData>
    <row r="1" spans="1:13" x14ac:dyDescent="0.3">
      <c r="A1" s="53" t="s">
        <v>113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x14ac:dyDescent="0.3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1:13" x14ac:dyDescent="0.3">
      <c r="A4" s="48" t="s">
        <v>114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5" spans="1:13" x14ac:dyDescent="0.3">
      <c r="A5" s="49"/>
    </row>
    <row r="6" spans="1:13" x14ac:dyDescent="0.3">
      <c r="A6" s="42" t="s">
        <v>54</v>
      </c>
      <c r="B6" s="47">
        <v>42064</v>
      </c>
      <c r="C6" s="47">
        <v>42430</v>
      </c>
      <c r="D6" s="47">
        <v>42795</v>
      </c>
      <c r="E6" s="47">
        <v>43160</v>
      </c>
      <c r="F6" s="47">
        <v>43525</v>
      </c>
      <c r="G6" s="47">
        <v>43891</v>
      </c>
      <c r="H6" s="47">
        <v>44256</v>
      </c>
      <c r="I6" s="47">
        <v>44621</v>
      </c>
      <c r="J6" s="47">
        <v>44986</v>
      </c>
      <c r="K6" s="47">
        <v>45352</v>
      </c>
      <c r="L6" s="47">
        <v>45717</v>
      </c>
      <c r="M6" s="47">
        <v>46082</v>
      </c>
    </row>
    <row r="7" spans="1:13" x14ac:dyDescent="0.3">
      <c r="A7" s="42" t="s">
        <v>102</v>
      </c>
      <c r="B7" s="35">
        <f>'Balance Sheet'!B29/'Balance Sheet'!B10</f>
        <v>2.6536481986073266</v>
      </c>
      <c r="C7" s="35">
        <f>'Balance Sheet'!C29/'Balance Sheet'!C10</f>
        <v>3.0114910313901344</v>
      </c>
      <c r="D7" s="35">
        <f>'Balance Sheet'!D29/'Balance Sheet'!D10</f>
        <v>2.7892609699769051</v>
      </c>
      <c r="E7" s="35">
        <f>'Balance Sheet'!E29/'Balance Sheet'!E10</f>
        <v>2.7887355298308103</v>
      </c>
      <c r="F7" s="35">
        <f>'Balance Sheet'!F29/'Balance Sheet'!F10</f>
        <v>2.9124492057628371</v>
      </c>
      <c r="G7" s="35">
        <f>'Balance Sheet'!G29/'Balance Sheet'!G10</f>
        <v>2.7526582692622279</v>
      </c>
      <c r="H7" s="35">
        <f>'Balance Sheet'!H29/'Balance Sheet'!H10</f>
        <v>3.3170652350740197</v>
      </c>
      <c r="I7" s="35">
        <f>'Balance Sheet'!I29/'Balance Sheet'!I10</f>
        <v>2.9563677346643051</v>
      </c>
      <c r="J7" s="35">
        <f>'Balance Sheet'!J29/'Balance Sheet'!J10</f>
        <v>3.0558341238650222</v>
      </c>
      <c r="K7" s="35">
        <f>'Balance Sheet'!K29/'Balance Sheet'!K10</f>
        <v>3.158259389814027</v>
      </c>
      <c r="L7" s="35">
        <f>'Balance Sheet'!L29/'Balance Sheet'!L10</f>
        <v>3.4480504319402288</v>
      </c>
      <c r="M7" s="35">
        <f>'Balance Sheet'!M29/'Balance Sheet'!M10</f>
        <v>2.822514715500327</v>
      </c>
    </row>
    <row r="8" spans="1:13" x14ac:dyDescent="0.3">
      <c r="A8" s="42" t="s">
        <v>103</v>
      </c>
      <c r="B8" s="35">
        <f>('Balance Sheet'!B29-'Balance Sheet'!B30)/'Balance Sheet'!B10</f>
        <v>1.5603996366939146</v>
      </c>
      <c r="C8" s="35">
        <f>('Balance Sheet'!C29-'Balance Sheet'!C30)/'Balance Sheet'!C10</f>
        <v>1.8747197309417041</v>
      </c>
      <c r="D8" s="35">
        <f>('Balance Sheet'!D29-'Balance Sheet'!D30)/'Balance Sheet'!D10</f>
        <v>1.538972286374134</v>
      </c>
      <c r="E8" s="35">
        <f>('Balance Sheet'!E29-'Balance Sheet'!E30)/'Balance Sheet'!E10</f>
        <v>1.4846393588601958</v>
      </c>
      <c r="F8" s="35">
        <f>('Balance Sheet'!F29-'Balance Sheet'!F30)/'Balance Sheet'!F10</f>
        <v>1.5740672330993719</v>
      </c>
      <c r="G8" s="35">
        <f>('Balance Sheet'!G29-'Balance Sheet'!G30)/'Balance Sheet'!G10</f>
        <v>1.4930476034680189</v>
      </c>
      <c r="H8" s="35">
        <f>('Balance Sheet'!H29-'Balance Sheet'!H30)/'Balance Sheet'!H10</f>
        <v>1.8462664714494876</v>
      </c>
      <c r="I8" s="35">
        <f>('Balance Sheet'!I29-'Balance Sheet'!I30)/'Balance Sheet'!I10</f>
        <v>1.7393334406697794</v>
      </c>
      <c r="J8" s="35">
        <f>('Balance Sheet'!J29-'Balance Sheet'!J30)/'Balance Sheet'!J10</f>
        <v>1.9017482043637348</v>
      </c>
      <c r="K8" s="35">
        <f>('Balance Sheet'!K29-'Balance Sheet'!K30)/'Balance Sheet'!K10</f>
        <v>1.9658441716299988</v>
      </c>
      <c r="L8" s="35">
        <f>('Balance Sheet'!L29-'Balance Sheet'!L30)/'Balance Sheet'!L10</f>
        <v>2.2171375204296053</v>
      </c>
      <c r="M8" s="35">
        <f>('Balance Sheet'!M29-'Balance Sheet'!M30)/'Balance Sheet'!M10</f>
        <v>1.8371484630477437</v>
      </c>
    </row>
    <row r="9" spans="1:13" x14ac:dyDescent="0.3">
      <c r="A9" s="26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</row>
    <row r="10" spans="1:13" x14ac:dyDescent="0.3">
      <c r="A10" s="48" t="s">
        <v>115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</row>
    <row r="11" spans="1:13" x14ac:dyDescent="0.3">
      <c r="A11" s="49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</row>
    <row r="12" spans="1:13" x14ac:dyDescent="0.3">
      <c r="A12" s="42" t="s">
        <v>54</v>
      </c>
      <c r="B12" s="47">
        <v>42064</v>
      </c>
      <c r="C12" s="47">
        <v>42430</v>
      </c>
      <c r="D12" s="47">
        <v>42795</v>
      </c>
      <c r="E12" s="47">
        <v>43160</v>
      </c>
      <c r="F12" s="47">
        <v>43525</v>
      </c>
      <c r="G12" s="47">
        <v>43891</v>
      </c>
      <c r="H12" s="47">
        <v>44256</v>
      </c>
      <c r="I12" s="47">
        <v>44621</v>
      </c>
      <c r="J12" s="47">
        <v>44986</v>
      </c>
      <c r="K12" s="47">
        <v>45352</v>
      </c>
      <c r="L12" s="47">
        <v>45717</v>
      </c>
      <c r="M12" s="47">
        <v>46082</v>
      </c>
    </row>
    <row r="13" spans="1:13" x14ac:dyDescent="0.3">
      <c r="A13" s="42" t="s">
        <v>104</v>
      </c>
      <c r="B13" s="35">
        <f>'Balance Sheet'!B4/('Balance Sheet'!B2+'Balance Sheet'!B3)</f>
        <v>0.86326609775019392</v>
      </c>
      <c r="C13" s="35">
        <f>'Balance Sheet'!C4/('Balance Sheet'!C2+'Balance Sheet'!C3)</f>
        <v>0.6916849615806806</v>
      </c>
      <c r="D13" s="35">
        <f>'Balance Sheet'!D4/('Balance Sheet'!D2+'Balance Sheet'!D3)</f>
        <v>0.35894152795561246</v>
      </c>
      <c r="E13" s="35">
        <f>'Balance Sheet'!E4/('Balance Sheet'!E2+'Balance Sheet'!E3)</f>
        <v>0.40835544901977572</v>
      </c>
      <c r="F13" s="35">
        <f>'Balance Sheet'!F4/('Balance Sheet'!F2+'Balance Sheet'!F3)</f>
        <v>0.50154776473975959</v>
      </c>
      <c r="G13" s="35">
        <f>'Balance Sheet'!G4/('Balance Sheet'!G2+'Balance Sheet'!G3)</f>
        <v>0.34627043090638931</v>
      </c>
      <c r="H13" s="35">
        <f>'Balance Sheet'!H4/('Balance Sheet'!H2+'Balance Sheet'!H3)</f>
        <v>0.2434564523483812</v>
      </c>
      <c r="I13" s="35">
        <f>'Balance Sheet'!I4/('Balance Sheet'!I2+'Balance Sheet'!I3)</f>
        <v>0.11600748697916667</v>
      </c>
      <c r="J13" s="35">
        <f>'Balance Sheet'!J4/('Balance Sheet'!J2+'Balance Sheet'!J3)</f>
        <v>0.19694485842026827</v>
      </c>
      <c r="K13" s="35">
        <f>'Balance Sheet'!K4/('Balance Sheet'!K2+'Balance Sheet'!K3)</f>
        <v>0.22276580772710519</v>
      </c>
      <c r="L13" s="35">
        <f>'Balance Sheet'!L4/('Balance Sheet'!L2+'Balance Sheet'!L3)</f>
        <v>0.25305484947784279</v>
      </c>
      <c r="M13" s="35">
        <f>'Balance Sheet'!M4/('Balance Sheet'!M2+'Balance Sheet'!M3)</f>
        <v>0.2130585099363965</v>
      </c>
    </row>
    <row r="14" spans="1:13" x14ac:dyDescent="0.3">
      <c r="A14" s="42" t="s">
        <v>105</v>
      </c>
      <c r="B14" s="35">
        <f>'Balance Sheet'!B4/'Balance Sheet'!B35</f>
        <v>0.34477149496514331</v>
      </c>
      <c r="C14" s="35">
        <f>'Balance Sheet'!C4/'Balance Sheet'!C35</f>
        <v>0.31712380473074986</v>
      </c>
      <c r="D14" s="35">
        <f>'Balance Sheet'!D4/'Balance Sheet'!D35</f>
        <v>0.20765432098765432</v>
      </c>
      <c r="E14" s="35">
        <f>'Balance Sheet'!E4/'Balance Sheet'!E35</f>
        <v>0.22777194155286029</v>
      </c>
      <c r="F14" s="35">
        <f>'Balance Sheet'!F4/'Balance Sheet'!F35</f>
        <v>0.26519736591679038</v>
      </c>
      <c r="G14" s="35">
        <f>'Balance Sheet'!G4/'Balance Sheet'!G35</f>
        <v>0.20253780636189814</v>
      </c>
      <c r="H14" s="35">
        <f>'Balance Sheet'!H4/'Balance Sheet'!H35</f>
        <v>0.1597737610725401</v>
      </c>
      <c r="I14" s="35">
        <f>'Balance Sheet'!I4/'Balance Sheet'!I35</f>
        <v>8.475533622688626E-2</v>
      </c>
      <c r="J14" s="35">
        <f>'Balance Sheet'!J4/'Balance Sheet'!J35</f>
        <v>0.13380584736109352</v>
      </c>
      <c r="K14" s="35">
        <f>'Balance Sheet'!K4/'Balance Sheet'!K35</f>
        <v>0.14866829170114274</v>
      </c>
      <c r="L14" s="35">
        <f>'Balance Sheet'!L4/'Balance Sheet'!L35</f>
        <v>0.16699001657168264</v>
      </c>
      <c r="M14" s="35">
        <f>'Balance Sheet'!M4/'Balance Sheet'!M35</f>
        <v>0.13872087428689256</v>
      </c>
    </row>
    <row r="15" spans="1:13" x14ac:dyDescent="0.3">
      <c r="A15" s="26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</row>
    <row r="16" spans="1:13" x14ac:dyDescent="0.3">
      <c r="A16" s="48" t="s">
        <v>116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</row>
    <row r="17" spans="1:13" x14ac:dyDescent="0.3">
      <c r="A17" s="49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</row>
    <row r="18" spans="1:13" x14ac:dyDescent="0.3">
      <c r="A18" s="42" t="s">
        <v>54</v>
      </c>
      <c r="B18" s="47">
        <v>42064</v>
      </c>
      <c r="C18" s="47">
        <v>42430</v>
      </c>
      <c r="D18" s="47">
        <v>42795</v>
      </c>
      <c r="E18" s="47">
        <v>43160</v>
      </c>
      <c r="F18" s="47">
        <v>43525</v>
      </c>
      <c r="G18" s="47">
        <v>43891</v>
      </c>
      <c r="H18" s="47">
        <v>44256</v>
      </c>
      <c r="I18" s="47">
        <v>44621</v>
      </c>
      <c r="J18" s="47">
        <v>44986</v>
      </c>
      <c r="K18" s="47">
        <v>45352</v>
      </c>
      <c r="L18" s="47">
        <v>45717</v>
      </c>
      <c r="M18" s="47">
        <v>46082</v>
      </c>
    </row>
    <row r="19" spans="1:13" x14ac:dyDescent="0.3">
      <c r="A19" s="42" t="s">
        <v>106</v>
      </c>
      <c r="B19" s="40">
        <f>('Income Statement'!B11/'Income Statement'!B2)</f>
        <v>0.21308766421548375</v>
      </c>
      <c r="C19" s="40">
        <f>('Income Statement'!C11/'Income Statement'!C2)</f>
        <v>0.23184722625617193</v>
      </c>
      <c r="D19" s="40">
        <f>('Income Statement'!D11/'Income Statement'!D2)</f>
        <v>0.23078470824949698</v>
      </c>
      <c r="E19" s="40">
        <f>('Income Statement'!E11/'Income Statement'!E2)</f>
        <v>0.2291198444997874</v>
      </c>
      <c r="F19" s="40">
        <f>('Income Statement'!F11/'Income Statement'!F2)</f>
        <v>0.20200368022899204</v>
      </c>
      <c r="G19" s="40">
        <f>('Income Statement'!G11/'Income Statement'!G2)</f>
        <v>0.20992250746785576</v>
      </c>
      <c r="H19" s="40">
        <f>('Income Statement'!H11/'Income Statement'!H2)</f>
        <v>0.21303733602421795</v>
      </c>
      <c r="I19" s="40">
        <f>('Income Statement'!I11/'Income Statement'!I2)</f>
        <v>0.18742272436580687</v>
      </c>
      <c r="J19" s="40">
        <f>('Income Statement'!J11/'Income Statement'!J2)</f>
        <v>0.14914504123918729</v>
      </c>
      <c r="K19" s="40">
        <f>('Income Statement'!K11/'Income Statement'!K2)</f>
        <v>0.2008826977449831</v>
      </c>
      <c r="L19" s="40">
        <f>('Income Statement'!L11/'Income Statement'!L2)</f>
        <v>0.20678350775438153</v>
      </c>
      <c r="M19" s="40">
        <f>('Income Statement'!M11/'Income Statement'!M2)</f>
        <v>0.20414227557721451</v>
      </c>
    </row>
    <row r="20" spans="1:13" x14ac:dyDescent="0.3">
      <c r="A20" s="42" t="s">
        <v>107</v>
      </c>
      <c r="B20" s="40">
        <f>'Income Statement'!B20/'Income Statement'!B2</f>
        <v>0.1298025282987689</v>
      </c>
      <c r="C20" s="40">
        <f>'Income Statement'!C20/'Income Statement'!C2</f>
        <v>0.14696485623003194</v>
      </c>
      <c r="D20" s="40">
        <f>'Income Statement'!D20/'Income Statement'!D2</f>
        <v>0.15432595573440644</v>
      </c>
      <c r="E20" s="40">
        <f>'Income Statement'!E20/'Income Statement'!E2</f>
        <v>0.1471785215331349</v>
      </c>
      <c r="F20" s="40">
        <f>'Income Statement'!F20/'Income Statement'!F2</f>
        <v>0.1208341852381926</v>
      </c>
      <c r="G20" s="40">
        <f>'Income Statement'!G20/'Income Statement'!G2</f>
        <v>0.12312221308281744</v>
      </c>
      <c r="H20" s="40">
        <f>'Income Statement'!H20/'Income Statement'!H2</f>
        <v>0.21529767911200806</v>
      </c>
      <c r="I20" s="40">
        <f>'Income Statement'!I20/'Income Statement'!I2</f>
        <v>0.11285440204647197</v>
      </c>
      <c r="J20" s="40">
        <f>'Income Statement'!J20/'Income Statement'!J2</f>
        <v>7.7569905451619389E-2</v>
      </c>
      <c r="K20" s="40">
        <f>'Income Statement'!K20/'Income Statement'!K2</f>
        <v>0.1092683263223226</v>
      </c>
      <c r="L20" s="40">
        <f>'Income Statement'!L20/'Income Statement'!L2</f>
        <v>0.10982221661833312</v>
      </c>
      <c r="M20" s="40">
        <f>'Income Statement'!M20/'Income Statement'!M2</f>
        <v>0.10409176002139482</v>
      </c>
    </row>
    <row r="21" spans="1:13" x14ac:dyDescent="0.3">
      <c r="A21" s="42" t="s">
        <v>108</v>
      </c>
      <c r="B21" s="29" t="s">
        <v>112</v>
      </c>
      <c r="C21" s="40">
        <f>'Income Statement'!C20/AVERAGE('Balance Sheet'!B2+'Balance Sheet'!B3,'Balance Sheet'!C2+'Balance Sheet'!C3)</f>
        <v>0.32529733204757311</v>
      </c>
      <c r="D21" s="40">
        <f>'Income Statement'!D20/AVERAGE('Balance Sheet'!C2+'Balance Sheet'!C3,'Balance Sheet'!D2+'Balance Sheet'!D3)</f>
        <v>0.27623049219687873</v>
      </c>
      <c r="E21" s="40">
        <f>'Income Statement'!E20/AVERAGE('Balance Sheet'!D2+'Balance Sheet'!D3,'Balance Sheet'!E2+'Balance Sheet'!E3)</f>
        <v>0.23018097183299291</v>
      </c>
      <c r="F21" s="40">
        <f>'Income Statement'!F20/AVERAGE('Balance Sheet'!E2+'Balance Sheet'!E3,'Balance Sheet'!F2+'Balance Sheet'!F3)</f>
        <v>0.18488972313467855</v>
      </c>
      <c r="G21" s="40">
        <f>'Income Statement'!G20/AVERAGE('Balance Sheet'!F2+'Balance Sheet'!F3,'Balance Sheet'!G2+'Balance Sheet'!G3)</f>
        <v>0.1851803620263055</v>
      </c>
      <c r="H21" s="40">
        <f>'Income Statement'!H20/AVERAGE('Balance Sheet'!G2+'Balance Sheet'!G3,'Balance Sheet'!H2+'Balance Sheet'!H3)</f>
        <v>0.27526770739259449</v>
      </c>
      <c r="I21" s="40">
        <f>'Income Statement'!I20/AVERAGE('Balance Sheet'!H2+'Balance Sheet'!H3,'Balance Sheet'!I2+'Balance Sheet'!I3)</f>
        <v>0.11383477400765493</v>
      </c>
      <c r="J21" s="40">
        <f>'Income Statement'!J20/AVERAGE('Balance Sheet'!I2+'Balance Sheet'!I3,'Balance Sheet'!J2+'Balance Sheet'!J3)</f>
        <v>7.4996110160261392E-2</v>
      </c>
      <c r="K21" s="40">
        <f>'Income Statement'!K20/AVERAGE('Balance Sheet'!J2+'Balance Sheet'!J3,'Balance Sheet'!K2+'Balance Sheet'!K3)</f>
        <v>0.11181482984316285</v>
      </c>
      <c r="L21" s="40">
        <f>'Income Statement'!L20/AVERAGE('Balance Sheet'!K2+'Balance Sheet'!K3,'Balance Sheet'!L2+'Balance Sheet'!L3)</f>
        <v>0.11149513568868408</v>
      </c>
      <c r="M21" s="40">
        <f>'Income Statement'!M20/AVERAGE('Balance Sheet'!L2+'Balance Sheet'!L3,'Balance Sheet'!M2+'Balance Sheet'!M3)</f>
        <v>9.9313903379451118E-2</v>
      </c>
    </row>
    <row r="22" spans="1:13" x14ac:dyDescent="0.3">
      <c r="A22" s="42" t="s">
        <v>109</v>
      </c>
      <c r="B22" s="29" t="s">
        <v>112</v>
      </c>
      <c r="C22" s="40">
        <f>'Income Statement'!C20/AVERAGE('Balance Sheet'!B35,'Balance Sheet'!C35)</f>
        <v>0.14052627924737901</v>
      </c>
      <c r="D22" s="40">
        <f>'Income Statement'!D20/AVERAGE('Balance Sheet'!C35,'Balance Sheet'!D35)</f>
        <v>0.14338235294117646</v>
      </c>
      <c r="E22" s="40">
        <f>'Income Statement'!E20/AVERAGE('Balance Sheet'!D35,'Balance Sheet'!E35)</f>
        <v>0.13047224166711541</v>
      </c>
      <c r="F22" s="40">
        <f>'Income Statement'!F20/AVERAGE('Balance Sheet'!E35,'Balance Sheet'!F35)</f>
        <v>0.10014191006714253</v>
      </c>
      <c r="G22" s="40">
        <f>'Income Statement'!G20/AVERAGE('Balance Sheet'!F35,'Balance Sheet'!G35)</f>
        <v>0.10335053419579911</v>
      </c>
      <c r="H22" s="40">
        <f>'Income Statement'!H20/AVERAGE('Balance Sheet'!G35,'Balance Sheet'!H35)</f>
        <v>0.17156366092536304</v>
      </c>
      <c r="I22" s="40">
        <f>'Income Statement'!I20/AVERAGE('Balance Sheet'!H35,'Balance Sheet'!I35)</f>
        <v>7.8951292987741228E-2</v>
      </c>
      <c r="J22" s="40">
        <f>'Income Statement'!J20/AVERAGE('Balance Sheet'!I35,'Balance Sheet'!J35)</f>
        <v>5.2718647033892514E-2</v>
      </c>
      <c r="K22" s="40">
        <f>'Income Statement'!K20/AVERAGE('Balance Sheet'!J35,'Balance Sheet'!K35)</f>
        <v>7.525349671107312E-2</v>
      </c>
      <c r="L22" s="40">
        <f>'Income Statement'!L20/AVERAGE('Balance Sheet'!K35,'Balance Sheet'!L35)</f>
        <v>7.3971061263920002E-2</v>
      </c>
      <c r="M22" s="40">
        <f>'Income Statement'!M20/AVERAGE('Balance Sheet'!L35,'Balance Sheet'!M35)</f>
        <v>6.506435855049314E-2</v>
      </c>
    </row>
    <row r="23" spans="1:13" x14ac:dyDescent="0.3">
      <c r="A23" s="26"/>
      <c r="B23" s="2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</row>
    <row r="24" spans="1:13" x14ac:dyDescent="0.3">
      <c r="A24" s="48" t="s">
        <v>117</v>
      </c>
      <c r="B24" s="2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3">
      <c r="A25" s="49"/>
      <c r="B25" s="2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spans="1:13" x14ac:dyDescent="0.3">
      <c r="A26" s="42" t="s">
        <v>54</v>
      </c>
      <c r="B26" s="47">
        <v>42064</v>
      </c>
      <c r="C26" s="47">
        <v>42430</v>
      </c>
      <c r="D26" s="47">
        <v>42795</v>
      </c>
      <c r="E26" s="47">
        <v>43160</v>
      </c>
      <c r="F26" s="47">
        <v>43525</v>
      </c>
      <c r="G26" s="47">
        <v>43891</v>
      </c>
      <c r="H26" s="47">
        <v>44256</v>
      </c>
      <c r="I26" s="47">
        <v>44621</v>
      </c>
      <c r="J26" s="47">
        <v>44986</v>
      </c>
      <c r="K26" s="47">
        <v>45352</v>
      </c>
      <c r="L26" s="47">
        <v>45717</v>
      </c>
      <c r="M26" s="47">
        <v>46082</v>
      </c>
    </row>
    <row r="27" spans="1:13" x14ac:dyDescent="0.3">
      <c r="A27" s="42" t="s">
        <v>110</v>
      </c>
      <c r="B27" s="29" t="s">
        <v>112</v>
      </c>
      <c r="C27" s="35">
        <f>'Income Statement'!C2/AVERAGE('Balance Sheet'!B35,'Balance Sheet'!C35)</f>
        <v>0.95618968270499205</v>
      </c>
      <c r="D27" s="35">
        <f>'Income Statement'!D2/AVERAGE('Balance Sheet'!C35,'Balance Sheet'!D35)</f>
        <v>0.92908773678963108</v>
      </c>
      <c r="E27" s="35">
        <f>'Income Statement'!E2/AVERAGE('Balance Sheet'!D35,'Balance Sheet'!E35)</f>
        <v>0.88648968822357443</v>
      </c>
      <c r="F27" s="35">
        <f>'Income Statement'!F2/AVERAGE('Balance Sheet'!E35,'Balance Sheet'!F35)</f>
        <v>0.82875479211234193</v>
      </c>
      <c r="G27" s="35">
        <f>'Income Statement'!G2/AVERAGE('Balance Sheet'!F35,'Balance Sheet'!G35)</f>
        <v>0.83941420161348934</v>
      </c>
      <c r="H27" s="35">
        <f>'Income Statement'!H2/AVERAGE('Balance Sheet'!G35,'Balance Sheet'!H35)</f>
        <v>0.79686721024107043</v>
      </c>
      <c r="I27" s="35">
        <f>'Income Statement'!I2/AVERAGE('Balance Sheet'!H35,'Balance Sheet'!I35)</f>
        <v>0.69958540877501718</v>
      </c>
      <c r="J27" s="35">
        <f>'Income Statement'!J2/AVERAGE('Balance Sheet'!I35,'Balance Sheet'!J35)</f>
        <v>0.67962757885238501</v>
      </c>
      <c r="K27" s="35">
        <f>'Income Statement'!K2/AVERAGE('Balance Sheet'!J35,'Balance Sheet'!K35)</f>
        <v>0.68870366412576289</v>
      </c>
      <c r="L27" s="35">
        <f>'Income Statement'!L2/AVERAGE('Balance Sheet'!K35,'Balance Sheet'!L35)</f>
        <v>0.67355279780040123</v>
      </c>
      <c r="M27" s="35">
        <f>'Income Statement'!M2/AVERAGE('Balance Sheet'!L35,'Balance Sheet'!M35)</f>
        <v>0.6250673303738925</v>
      </c>
    </row>
    <row r="28" spans="1:13" x14ac:dyDescent="0.3">
      <c r="A28" s="42" t="s">
        <v>111</v>
      </c>
      <c r="B28" s="29" t="s">
        <v>112</v>
      </c>
      <c r="C28" s="35">
        <f>'Income Statement'!C2/AVERAGE('Balance Sheet'!B31,'Balance Sheet'!C31)</f>
        <v>3.3812914313773632</v>
      </c>
      <c r="D28" s="35">
        <f>'Income Statement'!D2/AVERAGE('Balance Sheet'!C31,'Balance Sheet'!D31)</f>
        <v>4.0450352685838311</v>
      </c>
      <c r="E28" s="35">
        <f>'Income Statement'!E2/AVERAGE('Balance Sheet'!D31,'Balance Sheet'!E31)</f>
        <v>5.6331907613344736</v>
      </c>
      <c r="F28" s="35">
        <f>'Income Statement'!F2/AVERAGE('Balance Sheet'!E31,'Balance Sheet'!F31)</f>
        <v>6.0252540806898676</v>
      </c>
      <c r="G28" s="35">
        <f>'Income Statement'!G2/AVERAGE('Balance Sheet'!F31,'Balance Sheet'!G31)</f>
        <v>5.9772286194850563</v>
      </c>
      <c r="H28" s="35">
        <f>'Income Statement'!H2/AVERAGE('Balance Sheet'!G31,'Balance Sheet'!H31)</f>
        <v>6.3379380915835251</v>
      </c>
      <c r="I28" s="35">
        <f>'Income Statement'!I2/AVERAGE('Balance Sheet'!H31,'Balance Sheet'!I31)</f>
        <v>6.2421823020625418</v>
      </c>
      <c r="J28" s="35">
        <f>'Income Statement'!J2/AVERAGE('Balance Sheet'!I31,'Balance Sheet'!J31)</f>
        <v>5.8634111818825199</v>
      </c>
      <c r="K28" s="35">
        <f>'Income Statement'!K2/AVERAGE('Balance Sheet'!J31,'Balance Sheet'!K31)</f>
        <v>6.2484110740062482</v>
      </c>
      <c r="L28" s="35">
        <f>'Income Statement'!L2/AVERAGE('Balance Sheet'!K31,'Balance Sheet'!L31)</f>
        <v>6.0066269052352554</v>
      </c>
      <c r="M28" s="35">
        <f>'Income Statement'!M2/AVERAGE('Balance Sheet'!L31,'Balance Sheet'!M31)</f>
        <v>5.2419003115264795</v>
      </c>
    </row>
    <row r="29" spans="1:13" x14ac:dyDescent="0.3">
      <c r="A29" s="26"/>
      <c r="B29" s="26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</row>
    <row r="30" spans="1:13" x14ac:dyDescent="0.3">
      <c r="A30" s="48" t="s">
        <v>118</v>
      </c>
      <c r="B30" s="26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</row>
    <row r="31" spans="1:13" x14ac:dyDescent="0.3">
      <c r="A31" s="49"/>
      <c r="B31" s="26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</row>
    <row r="32" spans="1:13" x14ac:dyDescent="0.3">
      <c r="A32" s="42" t="s">
        <v>54</v>
      </c>
      <c r="B32" s="47">
        <v>42064</v>
      </c>
      <c r="C32" s="47">
        <v>42430</v>
      </c>
      <c r="D32" s="47">
        <v>42795</v>
      </c>
      <c r="E32" s="47">
        <v>43160</v>
      </c>
      <c r="F32" s="47">
        <v>43525</v>
      </c>
      <c r="G32" s="47">
        <v>43891</v>
      </c>
      <c r="H32" s="47">
        <v>44256</v>
      </c>
      <c r="I32" s="47">
        <v>44621</v>
      </c>
      <c r="J32" s="47">
        <v>44986</v>
      </c>
      <c r="K32" s="47">
        <v>45352</v>
      </c>
      <c r="L32" s="47">
        <v>45717</v>
      </c>
      <c r="M32" s="47">
        <v>46082</v>
      </c>
    </row>
    <row r="33" spans="1:13" x14ac:dyDescent="0.3">
      <c r="A33" s="42" t="s">
        <v>95</v>
      </c>
      <c r="B33" s="35">
        <f>'Income Statement'!B27</f>
        <v>26.98</v>
      </c>
      <c r="C33" s="35">
        <f>'Income Statement'!C27</f>
        <v>34.61</v>
      </c>
      <c r="D33" s="35">
        <f>'Income Statement'!D27</f>
        <v>39.29</v>
      </c>
      <c r="E33" s="35">
        <f>'Income Statement'!E27</f>
        <v>41.36</v>
      </c>
      <c r="F33" s="35">
        <f>'Income Statement'!F27</f>
        <v>40.36</v>
      </c>
      <c r="G33" s="35">
        <f>'Income Statement'!G27</f>
        <v>48.56</v>
      </c>
      <c r="H33" s="35">
        <f>'Income Statement'!H27</f>
        <v>91.05</v>
      </c>
      <c r="I33" s="35">
        <f>'Income Statement'!I27</f>
        <v>45.2</v>
      </c>
      <c r="J33" s="35">
        <f>'Income Statement'!J27</f>
        <v>32.9</v>
      </c>
      <c r="K33" s="35">
        <f>'Income Statement'!K27</f>
        <v>54.15</v>
      </c>
      <c r="L33" s="35">
        <f>'Income Statement'!L27</f>
        <v>60.02</v>
      </c>
      <c r="M33" s="35">
        <f>'Income Statement'!M27</f>
        <v>60.34</v>
      </c>
    </row>
  </sheetData>
  <mergeCells count="6">
    <mergeCell ref="A30:A31"/>
    <mergeCell ref="A1:M3"/>
    <mergeCell ref="A4:A5"/>
    <mergeCell ref="A10:A11"/>
    <mergeCell ref="A16:A17"/>
    <mergeCell ref="A24:A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CA8B-643E-4004-BC51-9337ABDA998F}">
  <dimension ref="A1:L9"/>
  <sheetViews>
    <sheetView workbookViewId="0">
      <selection activeCell="A8" sqref="A8"/>
    </sheetView>
  </sheetViews>
  <sheetFormatPr defaultRowHeight="14.4" x14ac:dyDescent="0.3"/>
  <cols>
    <col min="1" max="1" width="14.88671875" customWidth="1"/>
  </cols>
  <sheetData>
    <row r="1" spans="1:12" x14ac:dyDescent="0.3">
      <c r="A1" s="52" t="s">
        <v>121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4" spans="1:12" x14ac:dyDescent="0.3">
      <c r="A4" s="30"/>
      <c r="B4" s="47">
        <v>42430</v>
      </c>
      <c r="C4" s="47">
        <v>42795</v>
      </c>
      <c r="D4" s="47">
        <v>43160</v>
      </c>
      <c r="E4" s="47">
        <v>43525</v>
      </c>
      <c r="F4" s="47">
        <v>43891</v>
      </c>
      <c r="G4" s="47">
        <v>44256</v>
      </c>
      <c r="H4" s="47">
        <v>44621</v>
      </c>
      <c r="I4" s="47">
        <v>44986</v>
      </c>
      <c r="J4" s="47">
        <v>45352</v>
      </c>
      <c r="K4" s="47">
        <v>45717</v>
      </c>
      <c r="L4" s="47">
        <v>46082</v>
      </c>
    </row>
    <row r="5" spans="1:12" x14ac:dyDescent="0.3">
      <c r="A5" s="54" t="s">
        <v>107</v>
      </c>
      <c r="B5" s="40">
        <f>'Income Statement'!C20/'Income Statement'!C2</f>
        <v>0.14696485623003194</v>
      </c>
      <c r="C5" s="40">
        <f>'Income Statement'!D20/'Income Statement'!D2</f>
        <v>0.15432595573440644</v>
      </c>
      <c r="D5" s="40">
        <f>'Income Statement'!E20/'Income Statement'!E2</f>
        <v>0.1471785215331349</v>
      </c>
      <c r="E5" s="40">
        <f>'Income Statement'!F20/'Income Statement'!F2</f>
        <v>0.1208341852381926</v>
      </c>
      <c r="F5" s="40">
        <f>'Income Statement'!G20/'Income Statement'!G2</f>
        <v>0.12312221308281744</v>
      </c>
      <c r="G5" s="40">
        <f>'Income Statement'!H20/'Income Statement'!H2</f>
        <v>0.21529767911200806</v>
      </c>
      <c r="H5" s="40">
        <f>'Income Statement'!I20/'Income Statement'!I2</f>
        <v>0.11285440204647197</v>
      </c>
      <c r="I5" s="40">
        <f>'Income Statement'!J20/'Income Statement'!J2</f>
        <v>7.7569905451619389E-2</v>
      </c>
      <c r="J5" s="40">
        <f>'Income Statement'!K20/'Income Statement'!K2</f>
        <v>0.1092683263223226</v>
      </c>
      <c r="K5" s="40">
        <f>'Income Statement'!L20/'Income Statement'!L2</f>
        <v>0.10982221661833312</v>
      </c>
      <c r="L5" s="40">
        <f>'Income Statement'!M20/'Income Statement'!M2</f>
        <v>0.10409176002139482</v>
      </c>
    </row>
    <row r="6" spans="1:12" x14ac:dyDescent="0.3">
      <c r="A6" s="54" t="s">
        <v>119</v>
      </c>
      <c r="B6" s="35">
        <f>'Income Statement'!C2/AVERAGE('Balance Sheet'!B35,'Balance Sheet'!C35)</f>
        <v>0.95618968270499205</v>
      </c>
      <c r="C6" s="35">
        <f>'Income Statement'!D2/AVERAGE('Balance Sheet'!C35,'Balance Sheet'!D35)</f>
        <v>0.92908773678963108</v>
      </c>
      <c r="D6" s="35">
        <f>'Income Statement'!E2/AVERAGE('Balance Sheet'!D35,'Balance Sheet'!E35)</f>
        <v>0.88648968822357443</v>
      </c>
      <c r="E6" s="35">
        <f>'Income Statement'!F2/AVERAGE('Balance Sheet'!E35,'Balance Sheet'!F35)</f>
        <v>0.82875479211234193</v>
      </c>
      <c r="F6" s="35">
        <f>'Income Statement'!G2/AVERAGE('Balance Sheet'!F35,'Balance Sheet'!G35)</f>
        <v>0.83941420161348934</v>
      </c>
      <c r="G6" s="35">
        <f>'Income Statement'!H2/AVERAGE('Balance Sheet'!G35,'Balance Sheet'!H35)</f>
        <v>0.79686721024107043</v>
      </c>
      <c r="H6" s="35">
        <f>'Income Statement'!I2/AVERAGE('Balance Sheet'!H35,'Balance Sheet'!I35)</f>
        <v>0.69958540877501718</v>
      </c>
      <c r="I6" s="35">
        <f>'Income Statement'!J2/AVERAGE('Balance Sheet'!I35,'Balance Sheet'!J35)</f>
        <v>0.67962757885238501</v>
      </c>
      <c r="J6" s="35">
        <f>'Income Statement'!K2/AVERAGE('Balance Sheet'!J35,'Balance Sheet'!K35)</f>
        <v>0.68870366412576289</v>
      </c>
      <c r="K6" s="35">
        <f>'Income Statement'!L2/AVERAGE('Balance Sheet'!K35,'Balance Sheet'!L35)</f>
        <v>0.67355279780040123</v>
      </c>
      <c r="L6" s="35">
        <f>'Income Statement'!M2/AVERAGE('Balance Sheet'!L35,'Balance Sheet'!M35)</f>
        <v>0.6250673303738925</v>
      </c>
    </row>
    <row r="7" spans="1:12" x14ac:dyDescent="0.3">
      <c r="A7" s="54" t="s">
        <v>122</v>
      </c>
      <c r="B7" s="35">
        <f>AVERAGE('Balance Sheet'!B35,'Balance Sheet'!C35)/AVERAGE('Balance Sheet'!B2+'Balance Sheet'!B3,'Balance Sheet'!C2+'Balance Sheet'!C3)</f>
        <v>2.3148505303760847</v>
      </c>
      <c r="C7" s="35">
        <f>AVERAGE('Balance Sheet'!C35,'Balance Sheet'!D35)/AVERAGE('Balance Sheet'!C2+'Balance Sheet'!C3,'Balance Sheet'!D2+'Balance Sheet'!D3)</f>
        <v>1.926530612244898</v>
      </c>
      <c r="D7" s="35">
        <f>AVERAGE('Balance Sheet'!D35,'Balance Sheet'!E35)/AVERAGE('Balance Sheet'!D2+'Balance Sheet'!D3,'Balance Sheet'!E2+'Balance Sheet'!E3)</f>
        <v>1.7642141262527906</v>
      </c>
      <c r="E7" s="35">
        <f>AVERAGE('Balance Sheet'!E35,'Balance Sheet'!F35)/AVERAGE('Balance Sheet'!E2+'Balance Sheet'!E3,'Balance Sheet'!F2+'Balance Sheet'!F3)</f>
        <v>1.8462771781636165</v>
      </c>
      <c r="F7" s="35">
        <f>AVERAGE('Balance Sheet'!F35,'Balance Sheet'!G35)/AVERAGE('Balance Sheet'!F2+'Balance Sheet'!F3,'Balance Sheet'!G2+'Balance Sheet'!G3)</f>
        <v>1.7917697616877197</v>
      </c>
      <c r="G7" s="35">
        <f>AVERAGE('Balance Sheet'!G35,'Balance Sheet'!H35)/AVERAGE('Balance Sheet'!G2+'Balance Sheet'!G3,'Balance Sheet'!H2+'Balance Sheet'!H3)</f>
        <v>1.6044639401367566</v>
      </c>
      <c r="H7" s="35">
        <f>AVERAGE('Balance Sheet'!H35,'Balance Sheet'!I35)/AVERAGE('Balance Sheet'!H2+'Balance Sheet'!H3,'Balance Sheet'!I2+'Balance Sheet'!I3)</f>
        <v>1.4418354620909131</v>
      </c>
      <c r="I7" s="35">
        <f>AVERAGE('Balance Sheet'!I35,'Balance Sheet'!J35)/AVERAGE('Balance Sheet'!I2+'Balance Sheet'!I3,'Balance Sheet'!J2+'Balance Sheet'!J3)</f>
        <v>1.4225727400031118</v>
      </c>
      <c r="J7" s="35">
        <f>AVERAGE('Balance Sheet'!J35,'Balance Sheet'!K35)/AVERAGE('Balance Sheet'!J2+'Balance Sheet'!J3,'Balance Sheet'!K2+'Balance Sheet'!K3)</f>
        <v>1.4858423160383183</v>
      </c>
      <c r="K7" s="35">
        <f>AVERAGE('Balance Sheet'!K35,'Balance Sheet'!L35)/AVERAGE('Balance Sheet'!K2+'Balance Sheet'!K3,'Balance Sheet'!L2+'Balance Sheet'!L3)</f>
        <v>1.5072804659498207</v>
      </c>
      <c r="L7" s="35">
        <f>AVERAGE('Balance Sheet'!L35,'Balance Sheet'!M35)/AVERAGE('Balance Sheet'!L2+'Balance Sheet'!L3,'Balance Sheet'!M2+'Balance Sheet'!M3)</f>
        <v>1.526394874121116</v>
      </c>
    </row>
    <row r="8" spans="1:12" x14ac:dyDescent="0.3">
      <c r="A8" s="54" t="s">
        <v>123</v>
      </c>
      <c r="B8" s="40">
        <f>B5*B6*B7</f>
        <v>0.32529733204757311</v>
      </c>
      <c r="C8" s="40">
        <f t="shared" ref="C8:L8" si="0">C5*C6*C7</f>
        <v>0.27623049219687873</v>
      </c>
      <c r="D8" s="40">
        <f t="shared" si="0"/>
        <v>0.23018097183299294</v>
      </c>
      <c r="E8" s="40">
        <f t="shared" si="0"/>
        <v>0.18488972313467855</v>
      </c>
      <c r="F8" s="40">
        <f t="shared" si="0"/>
        <v>0.18518036202630553</v>
      </c>
      <c r="G8" s="40">
        <f t="shared" si="0"/>
        <v>0.27526770739259449</v>
      </c>
      <c r="H8" s="40">
        <f t="shared" si="0"/>
        <v>0.11383477400765493</v>
      </c>
      <c r="I8" s="40">
        <f t="shared" si="0"/>
        <v>7.4996110160261392E-2</v>
      </c>
      <c r="J8" s="40">
        <f t="shared" si="0"/>
        <v>0.11181482984316285</v>
      </c>
      <c r="K8" s="40">
        <f t="shared" si="0"/>
        <v>0.11149513568868405</v>
      </c>
      <c r="L8" s="40">
        <f t="shared" si="0"/>
        <v>9.9313903379451132E-2</v>
      </c>
    </row>
    <row r="9" spans="1:12" x14ac:dyDescent="0.3">
      <c r="A9" s="54" t="s">
        <v>120</v>
      </c>
      <c r="B9" s="40">
        <v>0.32529733204757311</v>
      </c>
      <c r="C9" s="40">
        <v>0.27623049219687873</v>
      </c>
      <c r="D9" s="40">
        <v>0.23018097183299291</v>
      </c>
      <c r="E9" s="40">
        <v>0.18488972313467855</v>
      </c>
      <c r="F9" s="40">
        <v>0.1851803620263055</v>
      </c>
      <c r="G9" s="40">
        <v>0.27526770739259449</v>
      </c>
      <c r="H9" s="40">
        <v>0.11383477400765493</v>
      </c>
      <c r="I9" s="40">
        <v>7.4996110160261392E-2</v>
      </c>
      <c r="J9" s="40">
        <v>0.11181482984316285</v>
      </c>
      <c r="K9" s="40">
        <v>0.11149513568868408</v>
      </c>
      <c r="L9" s="40">
        <v>9.9313903379451118E-2</v>
      </c>
    </row>
  </sheetData>
  <mergeCells count="1">
    <mergeCell ref="A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Income Statement</vt:lpstr>
      <vt:lpstr>Balance Sheet</vt:lpstr>
      <vt:lpstr>Hortizontal Analysis</vt:lpstr>
      <vt:lpstr>Vertical Analysis</vt:lpstr>
      <vt:lpstr>Trend Analysis</vt:lpstr>
      <vt:lpstr>Ratio Analysis</vt:lpstr>
      <vt:lpstr>Du-pont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SANJEEV PILLI .</dc:creator>
  <cp:lastModifiedBy>SAI SANJEEV PILLI .</cp:lastModifiedBy>
  <dcterms:created xsi:type="dcterms:W3CDTF">2026-09-12T06:36:36Z</dcterms:created>
  <dcterms:modified xsi:type="dcterms:W3CDTF">2026-09-21T11:49:24Z</dcterms:modified>
</cp:coreProperties>
</file>